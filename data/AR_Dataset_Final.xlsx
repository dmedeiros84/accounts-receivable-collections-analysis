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gva\OneDrive\Área de Trabalho\PORTIFOLIO\PROJETO 1\"/>
    </mc:Choice>
  </mc:AlternateContent>
  <xr:revisionPtr revIDLastSave="0" documentId="13_ncr:1_{9920675E-8E6F-4BEF-83A9-72ED327CA8AA}" xr6:coauthVersionLast="47" xr6:coauthVersionMax="47" xr10:uidLastSave="{00000000-0000-0000-0000-000000000000}"/>
  <bookViews>
    <workbookView xWindow="-5385" yWindow="-21720" windowWidth="38640" windowHeight="21120" xr2:uid="{3FCA0EDF-EEB1-4F12-A75C-9972877EDF10}"/>
  </bookViews>
  <sheets>
    <sheet name="Invoices" sheetId="1" r:id="rId1"/>
  </sheets>
  <definedNames>
    <definedName name="_xlnm._FilterDatabase" localSheetId="0" hidden="1">Invoices!$A$1:$T$1</definedName>
    <definedName name="AR_Invoices">Invoices!$1:$1048576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O3" i="1"/>
  <c r="Q3" i="1"/>
  <c r="R3" i="1"/>
  <c r="K4" i="1"/>
  <c r="L4" i="1" s="1"/>
  <c r="M4" i="1"/>
  <c r="N4" i="1"/>
  <c r="P4" i="1" s="1"/>
  <c r="O4" i="1"/>
  <c r="Q4" i="1"/>
  <c r="R4" i="1"/>
  <c r="K5" i="1"/>
  <c r="O5" i="1" s="1"/>
  <c r="M5" i="1"/>
  <c r="S5" i="1" s="1"/>
  <c r="N5" i="1"/>
  <c r="P5" i="1" s="1"/>
  <c r="Q5" i="1"/>
  <c r="R5" i="1"/>
  <c r="K6" i="1"/>
  <c r="L6" i="1"/>
  <c r="Q6" i="1"/>
  <c r="R6" i="1"/>
  <c r="K7" i="1"/>
  <c r="M7" i="1" s="1"/>
  <c r="L7" i="1"/>
  <c r="O7" i="1"/>
  <c r="Q7" i="1"/>
  <c r="R7" i="1"/>
  <c r="K8" i="1"/>
  <c r="M8" i="1"/>
  <c r="N8" i="1" s="1"/>
  <c r="P8" i="1" s="1"/>
  <c r="O8" i="1"/>
  <c r="Q8" i="1"/>
  <c r="R8" i="1"/>
  <c r="K9" i="1"/>
  <c r="O9" i="1" s="1"/>
  <c r="Q9" i="1"/>
  <c r="R9" i="1"/>
  <c r="K10" i="1"/>
  <c r="Q10" i="1"/>
  <c r="R10" i="1"/>
  <c r="K11" i="1"/>
  <c r="M11" i="1" s="1"/>
  <c r="L11" i="1"/>
  <c r="O11" i="1"/>
  <c r="Q11" i="1"/>
  <c r="R11" i="1"/>
  <c r="K12" i="1"/>
  <c r="L12" i="1"/>
  <c r="M12" i="1"/>
  <c r="N12" i="1"/>
  <c r="P12" i="1" s="1"/>
  <c r="O12" i="1"/>
  <c r="Q12" i="1"/>
  <c r="R12" i="1"/>
  <c r="K13" i="1"/>
  <c r="O13" i="1" s="1"/>
  <c r="Q13" i="1"/>
  <c r="R13" i="1"/>
  <c r="K14" i="1"/>
  <c r="L14" i="1" s="1"/>
  <c r="Q14" i="1"/>
  <c r="R14" i="1"/>
  <c r="K15" i="1"/>
  <c r="M15" i="1" s="1"/>
  <c r="L15" i="1"/>
  <c r="O15" i="1"/>
  <c r="Q15" i="1"/>
  <c r="R15" i="1"/>
  <c r="K16" i="1"/>
  <c r="L16" i="1"/>
  <c r="M16" i="1"/>
  <c r="N16" i="1"/>
  <c r="P16" i="1" s="1"/>
  <c r="O16" i="1"/>
  <c r="Q16" i="1"/>
  <c r="R16" i="1"/>
  <c r="K17" i="1"/>
  <c r="O17" i="1" s="1"/>
  <c r="Q17" i="1"/>
  <c r="R17" i="1"/>
  <c r="K18" i="1"/>
  <c r="Q18" i="1"/>
  <c r="R18" i="1"/>
  <c r="K19" i="1"/>
  <c r="M19" i="1" s="1"/>
  <c r="O19" i="1"/>
  <c r="Q19" i="1"/>
  <c r="R19" i="1"/>
  <c r="K20" i="1"/>
  <c r="M20" i="1"/>
  <c r="N20" i="1" s="1"/>
  <c r="P20" i="1" s="1"/>
  <c r="O20" i="1"/>
  <c r="Q20" i="1"/>
  <c r="R20" i="1"/>
  <c r="K21" i="1"/>
  <c r="O21" i="1" s="1"/>
  <c r="L21" i="1"/>
  <c r="M21" i="1"/>
  <c r="T21" i="1" s="1"/>
  <c r="Q21" i="1"/>
  <c r="R21" i="1"/>
  <c r="S21" i="1"/>
  <c r="K22" i="1"/>
  <c r="L22" i="1"/>
  <c r="Q22" i="1"/>
  <c r="R22" i="1"/>
  <c r="K23" i="1"/>
  <c r="M23" i="1" s="1"/>
  <c r="L23" i="1"/>
  <c r="O23" i="1"/>
  <c r="Q23" i="1"/>
  <c r="R23" i="1"/>
  <c r="K24" i="1"/>
  <c r="L24" i="1"/>
  <c r="M24" i="1"/>
  <c r="O24" i="1"/>
  <c r="Q24" i="1"/>
  <c r="R24" i="1"/>
  <c r="K25" i="1"/>
  <c r="O25" i="1" s="1"/>
  <c r="M25" i="1"/>
  <c r="N25" i="1" s="1"/>
  <c r="P25" i="1" s="1"/>
  <c r="Q25" i="1"/>
  <c r="R25" i="1"/>
  <c r="K26" i="1"/>
  <c r="L26" i="1"/>
  <c r="Q26" i="1"/>
  <c r="R26" i="1"/>
  <c r="K27" i="1"/>
  <c r="M27" i="1" s="1"/>
  <c r="L27" i="1"/>
  <c r="O27" i="1"/>
  <c r="Q27" i="1"/>
  <c r="R27" i="1"/>
  <c r="K28" i="1"/>
  <c r="M28" i="1"/>
  <c r="N28" i="1" s="1"/>
  <c r="P28" i="1" s="1"/>
  <c r="O28" i="1"/>
  <c r="Q28" i="1"/>
  <c r="R28" i="1"/>
  <c r="K29" i="1"/>
  <c r="O29" i="1" s="1"/>
  <c r="Q29" i="1"/>
  <c r="R29" i="1"/>
  <c r="K30" i="1"/>
  <c r="Q30" i="1"/>
  <c r="R30" i="1"/>
  <c r="K31" i="1"/>
  <c r="M31" i="1" s="1"/>
  <c r="S31" i="1" s="1"/>
  <c r="L31" i="1"/>
  <c r="O31" i="1"/>
  <c r="Q31" i="1"/>
  <c r="R31" i="1"/>
  <c r="T31" i="1"/>
  <c r="K32" i="1"/>
  <c r="L32" i="1"/>
  <c r="M32" i="1"/>
  <c r="S32" i="1" s="1"/>
  <c r="O32" i="1"/>
  <c r="Q32" i="1"/>
  <c r="R32" i="1"/>
  <c r="T32" i="1"/>
  <c r="K33" i="1"/>
  <c r="O33" i="1" s="1"/>
  <c r="L33" i="1"/>
  <c r="M33" i="1"/>
  <c r="T33" i="1" s="1"/>
  <c r="Q33" i="1"/>
  <c r="R33" i="1"/>
  <c r="S33" i="1"/>
  <c r="K34" i="1"/>
  <c r="Q34" i="1"/>
  <c r="R34" i="1"/>
  <c r="K35" i="1"/>
  <c r="M35" i="1" s="1"/>
  <c r="S35" i="1" s="1"/>
  <c r="L35" i="1"/>
  <c r="O35" i="1"/>
  <c r="Q35" i="1"/>
  <c r="R35" i="1"/>
  <c r="K36" i="1"/>
  <c r="L36" i="1"/>
  <c r="M36" i="1"/>
  <c r="S36" i="1" s="1"/>
  <c r="N36" i="1"/>
  <c r="O36" i="1"/>
  <c r="P36" i="1"/>
  <c r="Q36" i="1"/>
  <c r="R36" i="1"/>
  <c r="T36" i="1"/>
  <c r="K37" i="1"/>
  <c r="O37" i="1" s="1"/>
  <c r="M37" i="1"/>
  <c r="S37" i="1" s="1"/>
  <c r="N37" i="1"/>
  <c r="P37" i="1"/>
  <c r="Q37" i="1"/>
  <c r="R37" i="1"/>
  <c r="K38" i="1"/>
  <c r="Q38" i="1"/>
  <c r="R38" i="1"/>
  <c r="K39" i="1"/>
  <c r="M39" i="1" s="1"/>
  <c r="S39" i="1" s="1"/>
  <c r="L39" i="1"/>
  <c r="N39" i="1"/>
  <c r="P39" i="1" s="1"/>
  <c r="O39" i="1"/>
  <c r="Q39" i="1"/>
  <c r="R39" i="1"/>
  <c r="T39" i="1"/>
  <c r="K40" i="1"/>
  <c r="M40" i="1"/>
  <c r="S40" i="1" s="1"/>
  <c r="N40" i="1"/>
  <c r="P40" i="1" s="1"/>
  <c r="O40" i="1"/>
  <c r="Q40" i="1"/>
  <c r="R40" i="1"/>
  <c r="K41" i="1"/>
  <c r="O41" i="1" s="1"/>
  <c r="L41" i="1"/>
  <c r="M41" i="1"/>
  <c r="N41" i="1" s="1"/>
  <c r="P41" i="1" s="1"/>
  <c r="Q41" i="1"/>
  <c r="R41" i="1"/>
  <c r="K42" i="1"/>
  <c r="Q42" i="1"/>
  <c r="R42" i="1"/>
  <c r="K43" i="1"/>
  <c r="M43" i="1" s="1"/>
  <c r="S43" i="1" s="1"/>
  <c r="L43" i="1"/>
  <c r="O43" i="1"/>
  <c r="Q43" i="1"/>
  <c r="R43" i="1"/>
  <c r="K44" i="1"/>
  <c r="L44" i="1"/>
  <c r="M44" i="1"/>
  <c r="S44" i="1" s="1"/>
  <c r="O44" i="1"/>
  <c r="Q44" i="1"/>
  <c r="R44" i="1"/>
  <c r="T44" i="1"/>
  <c r="K45" i="1"/>
  <c r="O45" i="1" s="1"/>
  <c r="Q45" i="1"/>
  <c r="R45" i="1"/>
  <c r="K46" i="1"/>
  <c r="Q46" i="1"/>
  <c r="R46" i="1"/>
  <c r="K47" i="1"/>
  <c r="M47" i="1" s="1"/>
  <c r="S47" i="1" s="1"/>
  <c r="O47" i="1"/>
  <c r="Q47" i="1"/>
  <c r="R47" i="1"/>
  <c r="T47" i="1"/>
  <c r="K48" i="1"/>
  <c r="L48" i="1"/>
  <c r="M48" i="1"/>
  <c r="S48" i="1" s="1"/>
  <c r="N48" i="1"/>
  <c r="O48" i="1"/>
  <c r="P48" i="1"/>
  <c r="Q48" i="1"/>
  <c r="R48" i="1"/>
  <c r="T48" i="1"/>
  <c r="K49" i="1"/>
  <c r="O49" i="1" s="1"/>
  <c r="M49" i="1"/>
  <c r="S49" i="1" s="1"/>
  <c r="Q49" i="1"/>
  <c r="R49" i="1"/>
  <c r="K50" i="1"/>
  <c r="Q50" i="1"/>
  <c r="R50" i="1"/>
  <c r="K51" i="1"/>
  <c r="M51" i="1" s="1"/>
  <c r="S51" i="1" s="1"/>
  <c r="L51" i="1"/>
  <c r="O51" i="1"/>
  <c r="Q51" i="1"/>
  <c r="R51" i="1"/>
  <c r="T51" i="1"/>
  <c r="K52" i="1"/>
  <c r="L52" i="1"/>
  <c r="M52" i="1"/>
  <c r="S52" i="1" s="1"/>
  <c r="N52" i="1"/>
  <c r="O52" i="1"/>
  <c r="P52" i="1"/>
  <c r="Q52" i="1"/>
  <c r="R52" i="1"/>
  <c r="T52" i="1"/>
  <c r="K53" i="1"/>
  <c r="O53" i="1" s="1"/>
  <c r="M53" i="1"/>
  <c r="S53" i="1" s="1"/>
  <c r="N53" i="1"/>
  <c r="P53" i="1"/>
  <c r="Q53" i="1"/>
  <c r="R53" i="1"/>
  <c r="K54" i="1"/>
  <c r="L54" i="1"/>
  <c r="Q54" i="1"/>
  <c r="R54" i="1"/>
  <c r="K55" i="1"/>
  <c r="M55" i="1" s="1"/>
  <c r="S55" i="1" s="1"/>
  <c r="L55" i="1"/>
  <c r="N55" i="1"/>
  <c r="P55" i="1" s="1"/>
  <c r="O55" i="1"/>
  <c r="Q55" i="1"/>
  <c r="R55" i="1"/>
  <c r="T55" i="1"/>
  <c r="K56" i="1"/>
  <c r="L56" i="1"/>
  <c r="M56" i="1"/>
  <c r="S56" i="1" s="1"/>
  <c r="N56" i="1"/>
  <c r="P56" i="1" s="1"/>
  <c r="O56" i="1"/>
  <c r="Q56" i="1"/>
  <c r="R56" i="1"/>
  <c r="K57" i="1"/>
  <c r="O57" i="1" s="1"/>
  <c r="L57" i="1"/>
  <c r="M57" i="1"/>
  <c r="N57" i="1" s="1"/>
  <c r="P57" i="1" s="1"/>
  <c r="Q57" i="1"/>
  <c r="R57" i="1"/>
  <c r="K58" i="1"/>
  <c r="Q58" i="1"/>
  <c r="R58" i="1"/>
  <c r="K59" i="1"/>
  <c r="L59" i="1"/>
  <c r="M59" i="1"/>
  <c r="S59" i="1" s="1"/>
  <c r="N59" i="1"/>
  <c r="O59" i="1"/>
  <c r="P59" i="1"/>
  <c r="Q59" i="1"/>
  <c r="R59" i="1"/>
  <c r="T59" i="1"/>
  <c r="K60" i="1"/>
  <c r="M60" i="1"/>
  <c r="S60" i="1" s="1"/>
  <c r="O60" i="1"/>
  <c r="Q60" i="1"/>
  <c r="R60" i="1"/>
  <c r="T60" i="1"/>
  <c r="K61" i="1"/>
  <c r="O61" i="1" s="1"/>
  <c r="L61" i="1"/>
  <c r="Q61" i="1"/>
  <c r="R61" i="1"/>
  <c r="K62" i="1"/>
  <c r="L62" i="1" s="1"/>
  <c r="Q62" i="1"/>
  <c r="R62" i="1"/>
  <c r="K63" i="1"/>
  <c r="L63" i="1"/>
  <c r="M63" i="1"/>
  <c r="S63" i="1" s="1"/>
  <c r="N63" i="1"/>
  <c r="O63" i="1"/>
  <c r="P63" i="1"/>
  <c r="Q63" i="1"/>
  <c r="R63" i="1"/>
  <c r="T63" i="1"/>
  <c r="K64" i="1"/>
  <c r="L64" i="1"/>
  <c r="M64" i="1"/>
  <c r="S64" i="1" s="1"/>
  <c r="N64" i="1"/>
  <c r="O64" i="1"/>
  <c r="P64" i="1"/>
  <c r="Q64" i="1"/>
  <c r="R64" i="1"/>
  <c r="T64" i="1"/>
  <c r="K65" i="1"/>
  <c r="O65" i="1" s="1"/>
  <c r="Q65" i="1"/>
  <c r="R65" i="1"/>
  <c r="K66" i="1"/>
  <c r="L66" i="1"/>
  <c r="Q66" i="1"/>
  <c r="R66" i="1"/>
  <c r="K67" i="1"/>
  <c r="L67" i="1"/>
  <c r="M67" i="1"/>
  <c r="S67" i="1" s="1"/>
  <c r="N67" i="1"/>
  <c r="P67" i="1" s="1"/>
  <c r="O67" i="1"/>
  <c r="Q67" i="1"/>
  <c r="R67" i="1"/>
  <c r="T67" i="1"/>
  <c r="K68" i="1"/>
  <c r="L68" i="1"/>
  <c r="M68" i="1"/>
  <c r="S68" i="1" s="1"/>
  <c r="O68" i="1"/>
  <c r="Q68" i="1"/>
  <c r="R68" i="1"/>
  <c r="K69" i="1"/>
  <c r="O69" i="1" s="1"/>
  <c r="Q69" i="1"/>
  <c r="R69" i="1"/>
  <c r="K70" i="1"/>
  <c r="Q70" i="1"/>
  <c r="R70" i="1"/>
  <c r="K71" i="1"/>
  <c r="L71" i="1"/>
  <c r="M71" i="1"/>
  <c r="S71" i="1" s="1"/>
  <c r="N71" i="1"/>
  <c r="O71" i="1"/>
  <c r="P71" i="1" s="1"/>
  <c r="Q71" i="1"/>
  <c r="R71" i="1"/>
  <c r="T71" i="1"/>
  <c r="K72" i="1"/>
  <c r="L72" i="1"/>
  <c r="M72" i="1"/>
  <c r="S72" i="1" s="1"/>
  <c r="N72" i="1"/>
  <c r="P72" i="1" s="1"/>
  <c r="O72" i="1"/>
  <c r="Q72" i="1"/>
  <c r="R72" i="1"/>
  <c r="T72" i="1"/>
  <c r="K73" i="1"/>
  <c r="O73" i="1" s="1"/>
  <c r="Q73" i="1"/>
  <c r="R73" i="1"/>
  <c r="K74" i="1"/>
  <c r="L74" i="1"/>
  <c r="Q74" i="1"/>
  <c r="R74" i="1"/>
  <c r="K75" i="1"/>
  <c r="L75" i="1"/>
  <c r="M75" i="1"/>
  <c r="S75" i="1" s="1"/>
  <c r="N75" i="1"/>
  <c r="O75" i="1"/>
  <c r="P75" i="1"/>
  <c r="Q75" i="1"/>
  <c r="R75" i="1"/>
  <c r="T75" i="1"/>
  <c r="K76" i="1"/>
  <c r="L76" i="1"/>
  <c r="M76" i="1"/>
  <c r="S76" i="1" s="1"/>
  <c r="N76" i="1"/>
  <c r="P76" i="1" s="1"/>
  <c r="O76" i="1"/>
  <c r="Q76" i="1"/>
  <c r="R76" i="1"/>
  <c r="T76" i="1"/>
  <c r="K77" i="1"/>
  <c r="O77" i="1" s="1"/>
  <c r="L77" i="1"/>
  <c r="M77" i="1"/>
  <c r="S77" i="1" s="1"/>
  <c r="N77" i="1"/>
  <c r="P77" i="1" s="1"/>
  <c r="Q77" i="1"/>
  <c r="R77" i="1"/>
  <c r="K78" i="1"/>
  <c r="Q78" i="1"/>
  <c r="R78" i="1"/>
  <c r="K79" i="1"/>
  <c r="L79" i="1"/>
  <c r="M79" i="1"/>
  <c r="S79" i="1" s="1"/>
  <c r="N79" i="1"/>
  <c r="P79" i="1" s="1"/>
  <c r="O79" i="1"/>
  <c r="Q79" i="1"/>
  <c r="R79" i="1"/>
  <c r="T79" i="1"/>
  <c r="K80" i="1"/>
  <c r="L80" i="1"/>
  <c r="M80" i="1"/>
  <c r="S80" i="1" s="1"/>
  <c r="N80" i="1"/>
  <c r="P80" i="1" s="1"/>
  <c r="O80" i="1"/>
  <c r="Q80" i="1"/>
  <c r="R80" i="1"/>
  <c r="T80" i="1"/>
  <c r="K81" i="1"/>
  <c r="O81" i="1" s="1"/>
  <c r="Q81" i="1"/>
  <c r="R81" i="1"/>
  <c r="K82" i="1"/>
  <c r="L82" i="1"/>
  <c r="Q82" i="1"/>
  <c r="R82" i="1"/>
  <c r="K83" i="1"/>
  <c r="L83" i="1"/>
  <c r="M83" i="1"/>
  <c r="S83" i="1" s="1"/>
  <c r="N83" i="1"/>
  <c r="O83" i="1"/>
  <c r="P83" i="1"/>
  <c r="Q83" i="1"/>
  <c r="R83" i="1"/>
  <c r="T83" i="1"/>
  <c r="K84" i="1"/>
  <c r="M84" i="1"/>
  <c r="S84" i="1" s="1"/>
  <c r="O84" i="1"/>
  <c r="Q84" i="1"/>
  <c r="R84" i="1"/>
  <c r="T84" i="1"/>
  <c r="K85" i="1"/>
  <c r="O85" i="1" s="1"/>
  <c r="L85" i="1"/>
  <c r="M85" i="1"/>
  <c r="T85" i="1" s="1"/>
  <c r="N85" i="1"/>
  <c r="P85" i="1"/>
  <c r="Q85" i="1"/>
  <c r="R85" i="1"/>
  <c r="S85" i="1"/>
  <c r="K86" i="1"/>
  <c r="L86" i="1" s="1"/>
  <c r="Q86" i="1"/>
  <c r="R86" i="1"/>
  <c r="K87" i="1"/>
  <c r="L87" i="1"/>
  <c r="M87" i="1"/>
  <c r="S87" i="1" s="1"/>
  <c r="N87" i="1"/>
  <c r="P87" i="1" s="1"/>
  <c r="O87" i="1"/>
  <c r="Q87" i="1"/>
  <c r="R87" i="1"/>
  <c r="T87" i="1"/>
  <c r="K88" i="1"/>
  <c r="M88" i="1"/>
  <c r="S88" i="1" s="1"/>
  <c r="N88" i="1"/>
  <c r="P88" i="1" s="1"/>
  <c r="O88" i="1"/>
  <c r="Q88" i="1"/>
  <c r="R88" i="1"/>
  <c r="K89" i="1"/>
  <c r="O89" i="1" s="1"/>
  <c r="L89" i="1"/>
  <c r="M89" i="1"/>
  <c r="N89" i="1" s="1"/>
  <c r="P89" i="1" s="1"/>
  <c r="Q89" i="1"/>
  <c r="R89" i="1"/>
  <c r="K90" i="1"/>
  <c r="Q90" i="1"/>
  <c r="R90" i="1"/>
  <c r="K91" i="1"/>
  <c r="L91" i="1"/>
  <c r="M91" i="1"/>
  <c r="S91" i="1" s="1"/>
  <c r="N91" i="1"/>
  <c r="P91" i="1" s="1"/>
  <c r="O91" i="1"/>
  <c r="Q91" i="1"/>
  <c r="R91" i="1"/>
  <c r="T91" i="1"/>
  <c r="K92" i="1"/>
  <c r="M92" i="1"/>
  <c r="S92" i="1" s="1"/>
  <c r="O92" i="1"/>
  <c r="Q92" i="1"/>
  <c r="R92" i="1"/>
  <c r="T92" i="1"/>
  <c r="K93" i="1"/>
  <c r="O93" i="1" s="1"/>
  <c r="Q93" i="1"/>
  <c r="R93" i="1"/>
  <c r="K94" i="1"/>
  <c r="L94" i="1" s="1"/>
  <c r="Q94" i="1"/>
  <c r="R94" i="1"/>
  <c r="K95" i="1"/>
  <c r="L95" i="1"/>
  <c r="M95" i="1"/>
  <c r="S95" i="1" s="1"/>
  <c r="N95" i="1"/>
  <c r="O95" i="1"/>
  <c r="P95" i="1"/>
  <c r="Q95" i="1"/>
  <c r="R95" i="1"/>
  <c r="T95" i="1"/>
  <c r="K96" i="1"/>
  <c r="L96" i="1"/>
  <c r="M96" i="1"/>
  <c r="S96" i="1" s="1"/>
  <c r="N96" i="1"/>
  <c r="O96" i="1"/>
  <c r="P96" i="1"/>
  <c r="Q96" i="1"/>
  <c r="R96" i="1"/>
  <c r="K97" i="1"/>
  <c r="O97" i="1" s="1"/>
  <c r="M97" i="1"/>
  <c r="S97" i="1" s="1"/>
  <c r="N97" i="1"/>
  <c r="P97" i="1"/>
  <c r="Q97" i="1"/>
  <c r="R97" i="1"/>
  <c r="K98" i="1"/>
  <c r="Q98" i="1"/>
  <c r="R98" i="1"/>
  <c r="K99" i="1"/>
  <c r="L99" i="1"/>
  <c r="M99" i="1"/>
  <c r="S99" i="1" s="1"/>
  <c r="N99" i="1"/>
  <c r="P99" i="1" s="1"/>
  <c r="O99" i="1"/>
  <c r="Q99" i="1"/>
  <c r="R99" i="1"/>
  <c r="T99" i="1"/>
  <c r="K100" i="1"/>
  <c r="M100" i="1"/>
  <c r="S100" i="1" s="1"/>
  <c r="O100" i="1"/>
  <c r="Q100" i="1"/>
  <c r="R100" i="1"/>
  <c r="K101" i="1"/>
  <c r="O101" i="1" s="1"/>
  <c r="Q101" i="1"/>
  <c r="R101" i="1"/>
  <c r="R2" i="1"/>
  <c r="Q2" i="1"/>
  <c r="K2" i="1"/>
  <c r="L2" i="1" s="1"/>
  <c r="T100" i="1" l="1"/>
  <c r="M78" i="1"/>
  <c r="O78" i="1"/>
  <c r="T68" i="1"/>
  <c r="M65" i="1"/>
  <c r="T57" i="1"/>
  <c r="T43" i="1"/>
  <c r="T41" i="1"/>
  <c r="L40" i="1"/>
  <c r="M26" i="1"/>
  <c r="O26" i="1"/>
  <c r="S19" i="1"/>
  <c r="L19" i="1"/>
  <c r="T19" i="1"/>
  <c r="N19" i="1"/>
  <c r="P19" i="1" s="1"/>
  <c r="M13" i="1"/>
  <c r="S12" i="1"/>
  <c r="T12" i="1"/>
  <c r="S11" i="1"/>
  <c r="T11" i="1"/>
  <c r="N11" i="1"/>
  <c r="P11" i="1" s="1"/>
  <c r="L5" i="1"/>
  <c r="M42" i="1"/>
  <c r="O42" i="1"/>
  <c r="T89" i="1"/>
  <c r="L88" i="1"/>
  <c r="M98" i="1"/>
  <c r="O98" i="1"/>
  <c r="L97" i="1"/>
  <c r="S89" i="1"/>
  <c r="T88" i="1"/>
  <c r="N84" i="1"/>
  <c r="P84" i="1" s="1"/>
  <c r="T77" i="1"/>
  <c r="M66" i="1"/>
  <c r="O66" i="1"/>
  <c r="L65" i="1"/>
  <c r="S57" i="1"/>
  <c r="T56" i="1"/>
  <c r="M54" i="1"/>
  <c r="O54" i="1"/>
  <c r="L53" i="1"/>
  <c r="N51" i="1"/>
  <c r="P51" i="1" s="1"/>
  <c r="N49" i="1"/>
  <c r="P49" i="1" s="1"/>
  <c r="S41" i="1"/>
  <c r="T40" i="1"/>
  <c r="M38" i="1"/>
  <c r="O38" i="1"/>
  <c r="L37" i="1"/>
  <c r="N35" i="1"/>
  <c r="P35" i="1" s="1"/>
  <c r="N33" i="1"/>
  <c r="P33" i="1" s="1"/>
  <c r="T25" i="1"/>
  <c r="N21" i="1"/>
  <c r="P21" i="1" s="1"/>
  <c r="L13" i="1"/>
  <c r="M6" i="1"/>
  <c r="O6" i="1"/>
  <c r="L25" i="1"/>
  <c r="T97" i="1"/>
  <c r="M86" i="1"/>
  <c r="O86" i="1"/>
  <c r="M73" i="1"/>
  <c r="T53" i="1"/>
  <c r="T37" i="1"/>
  <c r="N32" i="1"/>
  <c r="P32" i="1" s="1"/>
  <c r="S27" i="1"/>
  <c r="T27" i="1"/>
  <c r="N27" i="1"/>
  <c r="P27" i="1" s="1"/>
  <c r="S25" i="1"/>
  <c r="S20" i="1"/>
  <c r="L20" i="1"/>
  <c r="T20" i="1"/>
  <c r="M14" i="1"/>
  <c r="O14" i="1"/>
  <c r="T5" i="1"/>
  <c r="M90" i="1"/>
  <c r="O90" i="1"/>
  <c r="S4" i="1"/>
  <c r="T4" i="1"/>
  <c r="T96" i="1"/>
  <c r="M93" i="1"/>
  <c r="N92" i="1"/>
  <c r="P92" i="1" s="1"/>
  <c r="L84" i="1"/>
  <c r="M74" i="1"/>
  <c r="O74" i="1"/>
  <c r="L73" i="1"/>
  <c r="M61" i="1"/>
  <c r="N60" i="1"/>
  <c r="P60" i="1" s="1"/>
  <c r="M50" i="1"/>
  <c r="O50" i="1"/>
  <c r="L49" i="1"/>
  <c r="N47" i="1"/>
  <c r="P47" i="1" s="1"/>
  <c r="M34" i="1"/>
  <c r="O34" i="1"/>
  <c r="N31" i="1"/>
  <c r="P31" i="1" s="1"/>
  <c r="M29" i="1"/>
  <c r="S28" i="1"/>
  <c r="L28" i="1"/>
  <c r="T28" i="1"/>
  <c r="S7" i="1"/>
  <c r="T7" i="1"/>
  <c r="N7" i="1"/>
  <c r="P7" i="1" s="1"/>
  <c r="S24" i="1"/>
  <c r="T24" i="1"/>
  <c r="M18" i="1"/>
  <c r="O18" i="1"/>
  <c r="M94" i="1"/>
  <c r="O94" i="1"/>
  <c r="M81" i="1"/>
  <c r="M62" i="1"/>
  <c r="O62" i="1"/>
  <c r="T49" i="1"/>
  <c r="L47" i="1"/>
  <c r="M45" i="1"/>
  <c r="N44" i="1"/>
  <c r="P44" i="1" s="1"/>
  <c r="T35" i="1"/>
  <c r="L29" i="1"/>
  <c r="M22" i="1"/>
  <c r="O22" i="1"/>
  <c r="M17" i="1"/>
  <c r="S16" i="1"/>
  <c r="T16" i="1"/>
  <c r="S15" i="1"/>
  <c r="T15" i="1"/>
  <c r="N15" i="1"/>
  <c r="P15" i="1" s="1"/>
  <c r="M9" i="1"/>
  <c r="S8" i="1"/>
  <c r="L8" i="1"/>
  <c r="T8" i="1"/>
  <c r="M70" i="1"/>
  <c r="O70" i="1"/>
  <c r="S23" i="1"/>
  <c r="T23" i="1"/>
  <c r="N23" i="1"/>
  <c r="P23" i="1" s="1"/>
  <c r="M10" i="1"/>
  <c r="L10" i="1" s="1"/>
  <c r="O10" i="1"/>
  <c r="L100" i="1"/>
  <c r="M58" i="1"/>
  <c r="O58" i="1"/>
  <c r="M101" i="1"/>
  <c r="N100" i="1"/>
  <c r="P100" i="1" s="1"/>
  <c r="L92" i="1"/>
  <c r="M82" i="1"/>
  <c r="O82" i="1"/>
  <c r="L81" i="1"/>
  <c r="L70" i="1"/>
  <c r="M69" i="1"/>
  <c r="N68" i="1"/>
  <c r="P68" i="1" s="1"/>
  <c r="L60" i="1"/>
  <c r="M46" i="1"/>
  <c r="O46" i="1"/>
  <c r="N43" i="1"/>
  <c r="P43" i="1" s="1"/>
  <c r="M30" i="1"/>
  <c r="O30" i="1"/>
  <c r="N24" i="1"/>
  <c r="P24" i="1" s="1"/>
  <c r="L18" i="1"/>
  <c r="L17" i="1"/>
  <c r="L9" i="1"/>
  <c r="L3" i="1"/>
  <c r="M3" i="1"/>
  <c r="O2" i="1"/>
  <c r="M2" i="1"/>
  <c r="N2" i="1" s="1"/>
  <c r="T2" i="1"/>
  <c r="N65" i="1" l="1"/>
  <c r="P65" i="1" s="1"/>
  <c r="S65" i="1"/>
  <c r="T65" i="1"/>
  <c r="N46" i="1"/>
  <c r="P46" i="1" s="1"/>
  <c r="T46" i="1"/>
  <c r="S46" i="1"/>
  <c r="N9" i="1"/>
  <c r="P9" i="1" s="1"/>
  <c r="S9" i="1"/>
  <c r="T9" i="1"/>
  <c r="N22" i="1"/>
  <c r="P22" i="1" s="1"/>
  <c r="T22" i="1"/>
  <c r="S22" i="1"/>
  <c r="T62" i="1"/>
  <c r="N62" i="1"/>
  <c r="P62" i="1" s="1"/>
  <c r="S62" i="1"/>
  <c r="S73" i="1"/>
  <c r="T73" i="1"/>
  <c r="N73" i="1"/>
  <c r="P73" i="1" s="1"/>
  <c r="N82" i="1"/>
  <c r="P82" i="1" s="1"/>
  <c r="S82" i="1"/>
  <c r="T82" i="1"/>
  <c r="T61" i="1"/>
  <c r="N61" i="1"/>
  <c r="P61" i="1" s="1"/>
  <c r="S61" i="1"/>
  <c r="N81" i="1"/>
  <c r="P81" i="1" s="1"/>
  <c r="S81" i="1"/>
  <c r="T81" i="1"/>
  <c r="S34" i="1"/>
  <c r="T34" i="1"/>
  <c r="N34" i="1"/>
  <c r="P34" i="1" s="1"/>
  <c r="N98" i="1"/>
  <c r="P98" i="1" s="1"/>
  <c r="S98" i="1"/>
  <c r="T98" i="1"/>
  <c r="L98" i="1"/>
  <c r="N101" i="1"/>
  <c r="P101" i="1" s="1"/>
  <c r="T101" i="1"/>
  <c r="S101" i="1"/>
  <c r="L101" i="1"/>
  <c r="S74" i="1"/>
  <c r="T74" i="1"/>
  <c r="N74" i="1"/>
  <c r="P74" i="1" s="1"/>
  <c r="N90" i="1"/>
  <c r="P90" i="1" s="1"/>
  <c r="L90" i="1"/>
  <c r="S90" i="1"/>
  <c r="T90" i="1"/>
  <c r="S86" i="1"/>
  <c r="T86" i="1"/>
  <c r="N86" i="1"/>
  <c r="P86" i="1" s="1"/>
  <c r="N66" i="1"/>
  <c r="P66" i="1" s="1"/>
  <c r="S66" i="1"/>
  <c r="T66" i="1"/>
  <c r="N26" i="1"/>
  <c r="P26" i="1" s="1"/>
  <c r="S26" i="1"/>
  <c r="T26" i="1"/>
  <c r="L78" i="1"/>
  <c r="S78" i="1"/>
  <c r="T78" i="1"/>
  <c r="N78" i="1"/>
  <c r="P78" i="1" s="1"/>
  <c r="T94" i="1"/>
  <c r="S94" i="1"/>
  <c r="N94" i="1"/>
  <c r="P94" i="1" s="1"/>
  <c r="S3" i="1"/>
  <c r="T3" i="1"/>
  <c r="N3" i="1"/>
  <c r="P3" i="1" s="1"/>
  <c r="N30" i="1"/>
  <c r="P30" i="1" s="1"/>
  <c r="T30" i="1"/>
  <c r="S30" i="1"/>
  <c r="N58" i="1"/>
  <c r="P58" i="1" s="1"/>
  <c r="L58" i="1"/>
  <c r="S58" i="1"/>
  <c r="T58" i="1"/>
  <c r="N70" i="1"/>
  <c r="P70" i="1" s="1"/>
  <c r="T70" i="1"/>
  <c r="S70" i="1"/>
  <c r="N45" i="1"/>
  <c r="P45" i="1" s="1"/>
  <c r="S45" i="1"/>
  <c r="T45" i="1"/>
  <c r="S13" i="1"/>
  <c r="T13" i="1"/>
  <c r="N13" i="1"/>
  <c r="P13" i="1" s="1"/>
  <c r="L30" i="1"/>
  <c r="N10" i="1"/>
  <c r="P10" i="1" s="1"/>
  <c r="S10" i="1"/>
  <c r="T10" i="1"/>
  <c r="L69" i="1"/>
  <c r="N69" i="1"/>
  <c r="P69" i="1" s="1"/>
  <c r="T69" i="1"/>
  <c r="S69" i="1"/>
  <c r="N18" i="1"/>
  <c r="P18" i="1" s="1"/>
  <c r="S18" i="1"/>
  <c r="T18" i="1"/>
  <c r="S50" i="1"/>
  <c r="T50" i="1"/>
  <c r="L50" i="1"/>
  <c r="N50" i="1"/>
  <c r="P50" i="1" s="1"/>
  <c r="T93" i="1"/>
  <c r="L93" i="1"/>
  <c r="N93" i="1"/>
  <c r="P93" i="1" s="1"/>
  <c r="S93" i="1"/>
  <c r="N14" i="1"/>
  <c r="P14" i="1" s="1"/>
  <c r="T14" i="1"/>
  <c r="S14" i="1"/>
  <c r="S54" i="1"/>
  <c r="T54" i="1"/>
  <c r="N54" i="1"/>
  <c r="P54" i="1" s="1"/>
  <c r="N42" i="1"/>
  <c r="P42" i="1" s="1"/>
  <c r="S42" i="1"/>
  <c r="T42" i="1"/>
  <c r="L42" i="1"/>
  <c r="L46" i="1"/>
  <c r="L45" i="1"/>
  <c r="N17" i="1"/>
  <c r="P17" i="1" s="1"/>
  <c r="T17" i="1"/>
  <c r="S17" i="1"/>
  <c r="T29" i="1"/>
  <c r="N29" i="1"/>
  <c r="P29" i="1" s="1"/>
  <c r="S29" i="1"/>
  <c r="N6" i="1"/>
  <c r="P6" i="1" s="1"/>
  <c r="S6" i="1"/>
  <c r="T6" i="1"/>
  <c r="S38" i="1"/>
  <c r="T38" i="1"/>
  <c r="N38" i="1"/>
  <c r="P38" i="1" s="1"/>
  <c r="L38" i="1"/>
  <c r="L34" i="1"/>
  <c r="P2" i="1"/>
  <c r="S2" i="1"/>
</calcChain>
</file>

<file path=xl/sharedStrings.xml><?xml version="1.0" encoding="utf-8"?>
<sst xmlns="http://schemas.openxmlformats.org/spreadsheetml/2006/main" count="520" uniqueCount="144">
  <si>
    <t>Invoice_ID</t>
  </si>
  <si>
    <t>Customer_Name</t>
  </si>
  <si>
    <t>Industry</t>
  </si>
  <si>
    <t>Region</t>
  </si>
  <si>
    <t>Account_Manager</t>
  </si>
  <si>
    <t>Invoice_Date</t>
  </si>
  <si>
    <t>Due_Date</t>
  </si>
  <si>
    <t>Payment_Date</t>
  </si>
  <si>
    <t>Invoice_Amount</t>
  </si>
  <si>
    <t>Paid_Amount</t>
  </si>
  <si>
    <t>Outstanding_Amount</t>
  </si>
  <si>
    <t>Status</t>
  </si>
  <si>
    <t>Days_Late</t>
  </si>
  <si>
    <t>Aging_Bucket</t>
  </si>
  <si>
    <t>INV-1001</t>
  </si>
  <si>
    <t>Apex Manufacturing</t>
  </si>
  <si>
    <t>Manufacturing</t>
  </si>
  <si>
    <t>Ontario</t>
  </si>
  <si>
    <t>Sarah Lee</t>
  </si>
  <si>
    <t>INV-1002</t>
  </si>
  <si>
    <t>Northern Logistics</t>
  </si>
  <si>
    <t>Logistics</t>
  </si>
  <si>
    <t>Alberta</t>
  </si>
  <si>
    <t>Michael Chen</t>
  </si>
  <si>
    <t>INV-1003</t>
  </si>
  <si>
    <t>BlueTech Solutions</t>
  </si>
  <si>
    <t>Technology</t>
  </si>
  <si>
    <t>INV-1004</t>
  </si>
  <si>
    <t>GreenField Energy</t>
  </si>
  <si>
    <t>Energy</t>
  </si>
  <si>
    <t>British Columbia</t>
  </si>
  <si>
    <t>Daniel Cruz</t>
  </si>
  <si>
    <t>INV-1005</t>
  </si>
  <si>
    <t>Urban Retail Group</t>
  </si>
  <si>
    <t>Retail</t>
  </si>
  <si>
    <t>Quebec</t>
  </si>
  <si>
    <t>Emma Davis</t>
  </si>
  <si>
    <t>INV-1006</t>
  </si>
  <si>
    <t>Titan Construction</t>
  </si>
  <si>
    <t>Construction</t>
  </si>
  <si>
    <t>INV-1007</t>
  </si>
  <si>
    <t>Healthcare</t>
  </si>
  <si>
    <t>INV-1008</t>
  </si>
  <si>
    <t>INV-1009</t>
  </si>
  <si>
    <t>INV-1010</t>
  </si>
  <si>
    <t>Customer_Risk</t>
  </si>
  <si>
    <t>Collection_Priority</t>
  </si>
  <si>
    <t>Payment_Term</t>
  </si>
  <si>
    <t>Invoice_Month</t>
  </si>
  <si>
    <t>Is_Overdue</t>
  </si>
  <si>
    <t>Overdue_Category</t>
  </si>
  <si>
    <t>Nova Health</t>
  </si>
  <si>
    <t>Global Transport</t>
  </si>
  <si>
    <t>Summit Tech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</si>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</sst>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yyyy/mm/dd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/>
    <xf numFmtId="0" fontId="2" fillId="0" borderId="0" xfId="0" applyFont="1"/>
    <xf numFmtId="14" fontId="2" fillId="0" borderId="0" xfId="0" applyNumberFormat="1" applyFont="1"/>
    <xf numFmtId="0" fontId="2" fillId="0" borderId="1" xfId="0" applyFont="1" applyBorder="1"/>
    <xf numFmtId="14" fontId="2" fillId="0" borderId="1" xfId="0" applyNumberFormat="1" applyFont="1" applyBorder="1"/>
    <xf numFmtId="4" fontId="2" fillId="0" borderId="0" xfId="0" applyNumberFormat="1" applyFont="1"/>
    <xf numFmtId="4" fontId="0" fillId="0" borderId="0" xfId="0" applyNumberFormat="1"/>
    <xf numFmtId="4" fontId="2" fillId="0" borderId="1" xfId="0" applyNumberFormat="1" applyFont="1" applyBorder="1"/>
    <xf numFmtId="4" fontId="0" fillId="0" borderId="1" xfId="0" applyNumberFormat="1" applyBorder="1"/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076D-BEED-4097-9F2F-C9DAEAE484E1}">
  <dimension ref="A1:T101"/>
  <sheetViews>
    <sheetView showGridLines="0" tabSelected="1" workbookViewId="0">
      <selection activeCell="U1" sqref="U1"/>
    </sheetView>
  </sheetViews>
  <sheetFormatPr defaultColWidth="20.33203125" defaultRowHeight="14.4" x14ac:dyDescent="0.3"/>
  <cols>
    <col min="1" max="1" width="10.109375" bestFit="1" customWidth="1"/>
    <col min="2" max="2" width="18.21875" bestFit="1" customWidth="1"/>
    <col min="3" max="3" width="19.33203125" bestFit="1" customWidth="1"/>
    <col min="4" max="4" width="15.44140625" bestFit="1" customWidth="1"/>
    <col min="5" max="5" width="16.33203125" bestFit="1" customWidth="1"/>
    <col min="6" max="6" width="12.33203125" style="2" bestFit="1" customWidth="1"/>
    <col min="7" max="7" width="10.33203125" style="2" bestFit="1" customWidth="1"/>
    <col min="8" max="8" width="13.77734375" style="2" bestFit="1" customWidth="1"/>
    <col min="9" max="9" width="15.109375" style="1" bestFit="1" customWidth="1"/>
    <col min="10" max="10" width="12.33203125" style="1" bestFit="1" customWidth="1"/>
    <col min="11" max="11" width="19.5546875" style="1" bestFit="1" customWidth="1"/>
    <col min="12" max="12" width="8" bestFit="1" customWidth="1"/>
    <col min="13" max="13" width="9.88671875" bestFit="1" customWidth="1"/>
    <col min="14" max="14" width="12.44140625" bestFit="1" customWidth="1"/>
    <col min="17" max="17" width="20.33203125" style="5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</row>
    <row r="2" spans="1:20" x14ac:dyDescent="0.3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8">
        <v>46027</v>
      </c>
      <c r="G2" s="8">
        <v>46058</v>
      </c>
      <c r="H2" s="8">
        <v>46071</v>
      </c>
      <c r="I2" s="11">
        <v>12000</v>
      </c>
      <c r="J2" s="11">
        <v>12000</v>
      </c>
      <c r="K2" s="12">
        <f>I2-J2</f>
        <v>0</v>
      </c>
      <c r="L2" t="str">
        <f>IF(K2=0,"Paid",IF(M2&gt;0,"Overdue","Open"))</f>
        <v>Paid</v>
      </c>
      <c r="M2">
        <f ca="1">IF(K2=0,H2-G2,MAX(0,TODAY()-G2))</f>
        <v>13</v>
      </c>
      <c r="N2" t="str">
        <f ca="1">IF(M2&lt;=0,"Current",IF(M2&lt;=30,"1-30 Days",IF(M2&lt;=60,"31-60 Days",IF(M2&lt;=90,"61-90 Days","90+ Days"))))</f>
        <v>1-30 Days</v>
      </c>
      <c r="O2" t="str">
        <f>IF(K2&gt;=15000,"High",IF(K2&gt;=5000,"Medium","Low"))</f>
        <v>Low</v>
      </c>
      <c r="P2" t="str">
        <f ca="1">IF(AND(N2="90+ Days",O2="High"),"Urgent",
IF(OR(N2="61-90 Days",O2="High"),"High",
IF(N2="31-60 Days","Medium","Low")))</f>
        <v>Low</v>
      </c>
      <c r="Q2" s="5">
        <f>G2-F2</f>
        <v>31</v>
      </c>
      <c r="R2" t="str">
        <f>TEXT(F2,"YYYY-MM")</f>
        <v>2026-01</v>
      </c>
      <c r="S2">
        <f ca="1">IF(M2&gt;0,1,0)</f>
        <v>1</v>
      </c>
      <c r="T2" t="str">
        <f ca="1">IF(M2&gt;0,"Overdue","Not Overdue")</f>
        <v>Overdue</v>
      </c>
    </row>
    <row r="3" spans="1:20" x14ac:dyDescent="0.3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>
        <v>46030</v>
      </c>
      <c r="G3" s="8">
        <v>46061</v>
      </c>
      <c r="H3" s="7"/>
      <c r="I3" s="11">
        <v>8500</v>
      </c>
      <c r="J3" s="11">
        <v>0</v>
      </c>
      <c r="K3" s="12">
        <f t="shared" ref="K3:K66" si="0">I3-J3</f>
        <v>8500</v>
      </c>
      <c r="L3" t="str">
        <f t="shared" ref="L3:L66" ca="1" si="1">IF(K3=0,"Paid",IF(M3&gt;0,"Overdue","Open"))</f>
        <v>Overdue</v>
      </c>
      <c r="M3">
        <f t="shared" ref="M3:M66" ca="1" si="2">IF(K3=0,H3-G3,MAX(0,TODAY()-G3))</f>
        <v>97</v>
      </c>
      <c r="N3" t="str">
        <f t="shared" ref="N3:N66" ca="1" si="3">IF(M3&lt;=0,"Current",IF(M3&lt;=30,"1-30 Days",IF(M3&lt;=60,"31-60 Days",IF(M3&lt;=90,"61-90 Days","90+ Days"))))</f>
        <v>90+ Days</v>
      </c>
      <c r="O3" t="str">
        <f t="shared" ref="O3:O66" si="4">IF(K3&gt;=15000,"High",IF(K3&gt;=5000,"Medium","Low"))</f>
        <v>Medium</v>
      </c>
      <c r="P3" t="str">
        <f t="shared" ref="P3:P66" ca="1" si="5">IF(AND(N3="90+ Days",O3="High"),"Urgent",
IF(OR(N3="61-90 Days",O3="High"),"High",
IF(N3="31-60 Days","Medium","Low")))</f>
        <v>Low</v>
      </c>
      <c r="Q3" s="5">
        <f t="shared" ref="Q3:Q66" si="6">G3-F3</f>
        <v>31</v>
      </c>
      <c r="R3" t="str">
        <f t="shared" ref="R3:R66" si="7">TEXT(F3,"YYYY-MM")</f>
        <v>2026-01</v>
      </c>
      <c r="S3">
        <f t="shared" ref="S3:S66" ca="1" si="8">IF(M3&gt;0,1,0)</f>
        <v>1</v>
      </c>
      <c r="T3" t="str">
        <f t="shared" ref="T3:T66" ca="1" si="9">IF(M3&gt;0,"Overdue","Not Overdue")</f>
        <v>Overdue</v>
      </c>
    </row>
    <row r="4" spans="1:20" x14ac:dyDescent="0.3">
      <c r="A4" s="7" t="s">
        <v>24</v>
      </c>
      <c r="B4" s="7" t="s">
        <v>25</v>
      </c>
      <c r="C4" s="7" t="s">
        <v>26</v>
      </c>
      <c r="D4" s="7" t="s">
        <v>17</v>
      </c>
      <c r="E4" s="7" t="s">
        <v>18</v>
      </c>
      <c r="F4" s="8">
        <v>46032</v>
      </c>
      <c r="G4" s="8">
        <v>46063</v>
      </c>
      <c r="H4" s="8">
        <v>46065</v>
      </c>
      <c r="I4" s="11">
        <v>5400</v>
      </c>
      <c r="J4" s="11">
        <v>5400</v>
      </c>
      <c r="K4" s="12">
        <f t="shared" si="0"/>
        <v>0</v>
      </c>
      <c r="L4" t="str">
        <f t="shared" si="1"/>
        <v>Paid</v>
      </c>
      <c r="M4">
        <f t="shared" ca="1" si="2"/>
        <v>2</v>
      </c>
      <c r="N4" t="str">
        <f t="shared" ca="1" si="3"/>
        <v>1-30 Days</v>
      </c>
      <c r="O4" t="str">
        <f t="shared" si="4"/>
        <v>Low</v>
      </c>
      <c r="P4" t="str">
        <f t="shared" ca="1" si="5"/>
        <v>Low</v>
      </c>
      <c r="Q4" s="5">
        <f t="shared" si="6"/>
        <v>31</v>
      </c>
      <c r="R4" t="str">
        <f t="shared" si="7"/>
        <v>2026-01</v>
      </c>
      <c r="S4">
        <f t="shared" ca="1" si="8"/>
        <v>1</v>
      </c>
      <c r="T4" t="str">
        <f t="shared" ca="1" si="9"/>
        <v>Overdue</v>
      </c>
    </row>
    <row r="5" spans="1:20" x14ac:dyDescent="0.3">
      <c r="A5" s="7" t="s">
        <v>27</v>
      </c>
      <c r="B5" s="7" t="s">
        <v>38</v>
      </c>
      <c r="C5" s="7" t="s">
        <v>39</v>
      </c>
      <c r="D5" s="7" t="s">
        <v>17</v>
      </c>
      <c r="E5" s="7" t="s">
        <v>31</v>
      </c>
      <c r="F5" s="8">
        <v>46034</v>
      </c>
      <c r="G5" s="8">
        <v>46065</v>
      </c>
      <c r="H5" s="7"/>
      <c r="I5" s="11">
        <v>25000</v>
      </c>
      <c r="J5" s="11">
        <v>5000</v>
      </c>
      <c r="K5" s="12">
        <f t="shared" si="0"/>
        <v>20000</v>
      </c>
      <c r="L5" t="str">
        <f t="shared" ca="1" si="1"/>
        <v>Overdue</v>
      </c>
      <c r="M5">
        <f t="shared" ca="1" si="2"/>
        <v>93</v>
      </c>
      <c r="N5" t="str">
        <f t="shared" ca="1" si="3"/>
        <v>90+ Days</v>
      </c>
      <c r="O5" t="str">
        <f t="shared" si="4"/>
        <v>High</v>
      </c>
      <c r="P5" t="str">
        <f t="shared" ca="1" si="5"/>
        <v>Urgent</v>
      </c>
      <c r="Q5" s="5">
        <f t="shared" si="6"/>
        <v>31</v>
      </c>
      <c r="R5" t="str">
        <f t="shared" si="7"/>
        <v>2026-01</v>
      </c>
      <c r="S5">
        <f t="shared" ca="1" si="8"/>
        <v>1</v>
      </c>
      <c r="T5" t="str">
        <f t="shared" ca="1" si="9"/>
        <v>Overdue</v>
      </c>
    </row>
    <row r="6" spans="1:20" x14ac:dyDescent="0.3">
      <c r="A6" s="7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8">
        <v>46037</v>
      </c>
      <c r="G6" s="8">
        <v>46068</v>
      </c>
      <c r="H6" s="8">
        <v>46068</v>
      </c>
      <c r="I6" s="11">
        <v>2000</v>
      </c>
      <c r="J6" s="11">
        <v>2000</v>
      </c>
      <c r="K6" s="12">
        <f t="shared" si="0"/>
        <v>0</v>
      </c>
      <c r="L6" t="str">
        <f t="shared" si="1"/>
        <v>Paid</v>
      </c>
      <c r="M6">
        <f t="shared" ca="1" si="2"/>
        <v>0</v>
      </c>
      <c r="N6" t="str">
        <f t="shared" ca="1" si="3"/>
        <v>Current</v>
      </c>
      <c r="O6" t="str">
        <f t="shared" si="4"/>
        <v>Low</v>
      </c>
      <c r="P6" t="str">
        <f t="shared" ca="1" si="5"/>
        <v>Low</v>
      </c>
      <c r="Q6" s="5">
        <f t="shared" si="6"/>
        <v>31</v>
      </c>
      <c r="R6" t="str">
        <f t="shared" si="7"/>
        <v>2026-01</v>
      </c>
      <c r="S6">
        <f t="shared" ca="1" si="8"/>
        <v>0</v>
      </c>
      <c r="T6" t="str">
        <f t="shared" ca="1" si="9"/>
        <v>Not Overdue</v>
      </c>
    </row>
    <row r="7" spans="1:20" x14ac:dyDescent="0.3">
      <c r="A7" s="7" t="s">
        <v>37</v>
      </c>
      <c r="B7" s="7" t="s">
        <v>51</v>
      </c>
      <c r="C7" s="7" t="s">
        <v>41</v>
      </c>
      <c r="D7" s="7" t="s">
        <v>17</v>
      </c>
      <c r="E7" s="7" t="s">
        <v>18</v>
      </c>
      <c r="F7" s="8">
        <v>46040</v>
      </c>
      <c r="G7" s="8">
        <v>46071</v>
      </c>
      <c r="H7" s="8">
        <v>46073</v>
      </c>
      <c r="I7" s="11">
        <v>12000</v>
      </c>
      <c r="J7" s="11">
        <v>12000</v>
      </c>
      <c r="K7" s="12">
        <f t="shared" si="0"/>
        <v>0</v>
      </c>
      <c r="L7" t="str">
        <f t="shared" si="1"/>
        <v>Paid</v>
      </c>
      <c r="M7">
        <f t="shared" ca="1" si="2"/>
        <v>2</v>
      </c>
      <c r="N7" t="str">
        <f t="shared" ca="1" si="3"/>
        <v>1-30 Days</v>
      </c>
      <c r="O7" t="str">
        <f t="shared" si="4"/>
        <v>Low</v>
      </c>
      <c r="P7" t="str">
        <f t="shared" ca="1" si="5"/>
        <v>Low</v>
      </c>
      <c r="Q7" s="5">
        <f t="shared" si="6"/>
        <v>31</v>
      </c>
      <c r="R7" t="str">
        <f t="shared" si="7"/>
        <v>2026-01</v>
      </c>
      <c r="S7">
        <f t="shared" ca="1" si="8"/>
        <v>1</v>
      </c>
      <c r="T7" t="str">
        <f t="shared" ca="1" si="9"/>
        <v>Overdue</v>
      </c>
    </row>
    <row r="8" spans="1:20" x14ac:dyDescent="0.3">
      <c r="A8" s="7" t="s">
        <v>40</v>
      </c>
      <c r="B8" s="7" t="s">
        <v>20</v>
      </c>
      <c r="C8" s="7" t="s">
        <v>21</v>
      </c>
      <c r="D8" s="7" t="s">
        <v>22</v>
      </c>
      <c r="E8" s="7" t="s">
        <v>23</v>
      </c>
      <c r="F8" s="8">
        <v>46042</v>
      </c>
      <c r="G8" s="8">
        <v>46073</v>
      </c>
      <c r="H8" s="7"/>
      <c r="I8" s="11">
        <v>12000</v>
      </c>
      <c r="J8" s="11">
        <v>0</v>
      </c>
      <c r="K8" s="12">
        <f t="shared" si="0"/>
        <v>12000</v>
      </c>
      <c r="L8" t="str">
        <f t="shared" ca="1" si="1"/>
        <v>Overdue</v>
      </c>
      <c r="M8">
        <f t="shared" ca="1" si="2"/>
        <v>85</v>
      </c>
      <c r="N8" t="str">
        <f t="shared" ca="1" si="3"/>
        <v>61-90 Days</v>
      </c>
      <c r="O8" t="str">
        <f t="shared" si="4"/>
        <v>Medium</v>
      </c>
      <c r="P8" t="str">
        <f t="shared" ca="1" si="5"/>
        <v>High</v>
      </c>
      <c r="Q8" s="5">
        <f t="shared" si="6"/>
        <v>31</v>
      </c>
      <c r="R8" t="str">
        <f t="shared" si="7"/>
        <v>2026-01</v>
      </c>
      <c r="S8">
        <f t="shared" ca="1" si="8"/>
        <v>1</v>
      </c>
      <c r="T8" t="str">
        <f t="shared" ca="1" si="9"/>
        <v>Overdue</v>
      </c>
    </row>
    <row r="9" spans="1:20" x14ac:dyDescent="0.3">
      <c r="A9" s="7" t="s">
        <v>42</v>
      </c>
      <c r="B9" s="7" t="s">
        <v>52</v>
      </c>
      <c r="C9" s="7" t="s">
        <v>21</v>
      </c>
      <c r="D9" s="7" t="s">
        <v>30</v>
      </c>
      <c r="E9" s="7" t="s">
        <v>31</v>
      </c>
      <c r="F9" s="8">
        <v>46044</v>
      </c>
      <c r="G9" s="8">
        <v>46075</v>
      </c>
      <c r="H9" s="8">
        <v>46075</v>
      </c>
      <c r="I9" s="11">
        <v>5000</v>
      </c>
      <c r="J9" s="11">
        <v>5000</v>
      </c>
      <c r="K9" s="12">
        <f t="shared" si="0"/>
        <v>0</v>
      </c>
      <c r="L9" t="str">
        <f t="shared" si="1"/>
        <v>Paid</v>
      </c>
      <c r="M9">
        <f t="shared" ca="1" si="2"/>
        <v>0</v>
      </c>
      <c r="N9" t="str">
        <f t="shared" ca="1" si="3"/>
        <v>Current</v>
      </c>
      <c r="O9" t="str">
        <f t="shared" si="4"/>
        <v>Low</v>
      </c>
      <c r="P9" t="str">
        <f t="shared" ca="1" si="5"/>
        <v>Low</v>
      </c>
      <c r="Q9" s="5">
        <f t="shared" si="6"/>
        <v>31</v>
      </c>
      <c r="R9" t="str">
        <f t="shared" si="7"/>
        <v>2026-01</v>
      </c>
      <c r="S9">
        <f t="shared" ca="1" si="8"/>
        <v>0</v>
      </c>
      <c r="T9" t="str">
        <f t="shared" ca="1" si="9"/>
        <v>Not Overdue</v>
      </c>
    </row>
    <row r="10" spans="1:20" x14ac:dyDescent="0.3">
      <c r="A10" s="7" t="s">
        <v>43</v>
      </c>
      <c r="B10" s="7" t="s">
        <v>38</v>
      </c>
      <c r="C10" s="7" t="s">
        <v>39</v>
      </c>
      <c r="D10" s="7" t="s">
        <v>17</v>
      </c>
      <c r="E10" s="7" t="s">
        <v>31</v>
      </c>
      <c r="F10" s="8">
        <v>46047</v>
      </c>
      <c r="G10" s="8">
        <v>46078</v>
      </c>
      <c r="H10" s="7"/>
      <c r="I10" s="11">
        <v>25000</v>
      </c>
      <c r="J10" s="11">
        <v>0</v>
      </c>
      <c r="K10" s="12">
        <f t="shared" si="0"/>
        <v>25000</v>
      </c>
      <c r="L10" t="str">
        <f t="shared" ca="1" si="1"/>
        <v>Overdue</v>
      </c>
      <c r="M10">
        <f t="shared" ca="1" si="2"/>
        <v>80</v>
      </c>
      <c r="N10" t="str">
        <f t="shared" ca="1" si="3"/>
        <v>61-90 Days</v>
      </c>
      <c r="O10" t="str">
        <f t="shared" si="4"/>
        <v>High</v>
      </c>
      <c r="P10" t="str">
        <f t="shared" ca="1" si="5"/>
        <v>High</v>
      </c>
      <c r="Q10" s="5">
        <f t="shared" si="6"/>
        <v>31</v>
      </c>
      <c r="R10" t="str">
        <f t="shared" si="7"/>
        <v>2026-01</v>
      </c>
      <c r="S10">
        <f t="shared" ca="1" si="8"/>
        <v>1</v>
      </c>
      <c r="T10" t="str">
        <f t="shared" ca="1" si="9"/>
        <v>Overdue</v>
      </c>
    </row>
    <row r="11" spans="1:20" x14ac:dyDescent="0.3">
      <c r="A11" s="7" t="s">
        <v>44</v>
      </c>
      <c r="B11" s="7" t="s">
        <v>53</v>
      </c>
      <c r="C11" s="7" t="s">
        <v>26</v>
      </c>
      <c r="D11" s="7" t="s">
        <v>35</v>
      </c>
      <c r="E11" s="7" t="s">
        <v>36</v>
      </c>
      <c r="F11" s="8">
        <v>46050</v>
      </c>
      <c r="G11" s="8">
        <v>46081</v>
      </c>
      <c r="H11" s="8">
        <v>46082</v>
      </c>
      <c r="I11" s="11">
        <v>2000</v>
      </c>
      <c r="J11" s="11">
        <v>2000</v>
      </c>
      <c r="K11" s="12">
        <f t="shared" si="0"/>
        <v>0</v>
      </c>
      <c r="L11" t="str">
        <f t="shared" si="1"/>
        <v>Paid</v>
      </c>
      <c r="M11">
        <f t="shared" ca="1" si="2"/>
        <v>1</v>
      </c>
      <c r="N11" t="str">
        <f t="shared" ca="1" si="3"/>
        <v>1-30 Days</v>
      </c>
      <c r="O11" t="str">
        <f t="shared" si="4"/>
        <v>Low</v>
      </c>
      <c r="P11" t="str">
        <f t="shared" ca="1" si="5"/>
        <v>Low</v>
      </c>
      <c r="Q11" s="5">
        <f t="shared" si="6"/>
        <v>31</v>
      </c>
      <c r="R11" t="str">
        <f t="shared" si="7"/>
        <v>2026-01</v>
      </c>
      <c r="S11">
        <f t="shared" ca="1" si="8"/>
        <v>1</v>
      </c>
      <c r="T11" t="str">
        <f t="shared" ca="1" si="9"/>
        <v>Overdue</v>
      </c>
    </row>
    <row r="12" spans="1:20" x14ac:dyDescent="0.3">
      <c r="A12" s="7" t="s">
        <v>54</v>
      </c>
      <c r="B12" s="7" t="s">
        <v>15</v>
      </c>
      <c r="C12" s="7" t="s">
        <v>16</v>
      </c>
      <c r="D12" s="7" t="s">
        <v>17</v>
      </c>
      <c r="E12" s="7" t="s">
        <v>18</v>
      </c>
      <c r="F12" s="8">
        <v>46054</v>
      </c>
      <c r="G12" s="8">
        <v>46085</v>
      </c>
      <c r="H12" s="8">
        <v>46085</v>
      </c>
      <c r="I12" s="11">
        <v>12000</v>
      </c>
      <c r="J12" s="11">
        <v>12000</v>
      </c>
      <c r="K12" s="12">
        <f t="shared" si="0"/>
        <v>0</v>
      </c>
      <c r="L12" t="str">
        <f t="shared" si="1"/>
        <v>Paid</v>
      </c>
      <c r="M12">
        <f t="shared" ca="1" si="2"/>
        <v>0</v>
      </c>
      <c r="N12" t="str">
        <f t="shared" ca="1" si="3"/>
        <v>Current</v>
      </c>
      <c r="O12" t="str">
        <f t="shared" si="4"/>
        <v>Low</v>
      </c>
      <c r="P12" t="str">
        <f t="shared" ca="1" si="5"/>
        <v>Low</v>
      </c>
      <c r="Q12" s="5">
        <f t="shared" si="6"/>
        <v>31</v>
      </c>
      <c r="R12" t="str">
        <f t="shared" si="7"/>
        <v>2026-02</v>
      </c>
      <c r="S12">
        <f t="shared" ca="1" si="8"/>
        <v>0</v>
      </c>
      <c r="T12" t="str">
        <f t="shared" ca="1" si="9"/>
        <v>Not Overdue</v>
      </c>
    </row>
    <row r="13" spans="1:20" x14ac:dyDescent="0.3">
      <c r="A13" s="7" t="s">
        <v>55</v>
      </c>
      <c r="B13" s="7" t="s">
        <v>20</v>
      </c>
      <c r="C13" s="7" t="s">
        <v>21</v>
      </c>
      <c r="D13" s="7" t="s">
        <v>22</v>
      </c>
      <c r="E13" s="7" t="s">
        <v>23</v>
      </c>
      <c r="F13" s="8">
        <v>46056</v>
      </c>
      <c r="G13" s="8">
        <v>46087</v>
      </c>
      <c r="H13" s="7"/>
      <c r="I13" s="11">
        <v>5000</v>
      </c>
      <c r="J13" s="11">
        <v>0</v>
      </c>
      <c r="K13" s="12">
        <f t="shared" si="0"/>
        <v>5000</v>
      </c>
      <c r="L13" t="str">
        <f t="shared" ca="1" si="1"/>
        <v>Overdue</v>
      </c>
      <c r="M13">
        <f t="shared" ca="1" si="2"/>
        <v>71</v>
      </c>
      <c r="N13" t="str">
        <f t="shared" ca="1" si="3"/>
        <v>61-90 Days</v>
      </c>
      <c r="O13" t="str">
        <f t="shared" si="4"/>
        <v>Medium</v>
      </c>
      <c r="P13" t="str">
        <f t="shared" ca="1" si="5"/>
        <v>High</v>
      </c>
      <c r="Q13" s="5">
        <f t="shared" si="6"/>
        <v>31</v>
      </c>
      <c r="R13" t="str">
        <f t="shared" si="7"/>
        <v>2026-02</v>
      </c>
      <c r="S13">
        <f t="shared" ca="1" si="8"/>
        <v>1</v>
      </c>
      <c r="T13" t="str">
        <f t="shared" ca="1" si="9"/>
        <v>Overdue</v>
      </c>
    </row>
    <row r="14" spans="1:20" x14ac:dyDescent="0.3">
      <c r="A14" s="7" t="s">
        <v>56</v>
      </c>
      <c r="B14" s="7" t="s">
        <v>25</v>
      </c>
      <c r="C14" s="7" t="s">
        <v>26</v>
      </c>
      <c r="D14" s="7" t="s">
        <v>17</v>
      </c>
      <c r="E14" s="7" t="s">
        <v>18</v>
      </c>
      <c r="F14" s="8">
        <v>46058</v>
      </c>
      <c r="G14" s="8">
        <v>46089</v>
      </c>
      <c r="H14" s="8">
        <v>46091</v>
      </c>
      <c r="I14" s="11">
        <v>5000</v>
      </c>
      <c r="J14" s="11">
        <v>5000</v>
      </c>
      <c r="K14" s="12">
        <f t="shared" si="0"/>
        <v>0</v>
      </c>
      <c r="L14" t="str">
        <f t="shared" si="1"/>
        <v>Paid</v>
      </c>
      <c r="M14">
        <f t="shared" ca="1" si="2"/>
        <v>2</v>
      </c>
      <c r="N14" t="str">
        <f t="shared" ca="1" si="3"/>
        <v>1-30 Days</v>
      </c>
      <c r="O14" t="str">
        <f t="shared" si="4"/>
        <v>Low</v>
      </c>
      <c r="P14" t="str">
        <f t="shared" ca="1" si="5"/>
        <v>Low</v>
      </c>
      <c r="Q14" s="5">
        <f t="shared" si="6"/>
        <v>31</v>
      </c>
      <c r="R14" t="str">
        <f t="shared" si="7"/>
        <v>2026-02</v>
      </c>
      <c r="S14">
        <f t="shared" ca="1" si="8"/>
        <v>1</v>
      </c>
      <c r="T14" t="str">
        <f t="shared" ca="1" si="9"/>
        <v>Overdue</v>
      </c>
    </row>
    <row r="15" spans="1:20" x14ac:dyDescent="0.3">
      <c r="A15" s="7" t="s">
        <v>57</v>
      </c>
      <c r="B15" s="7" t="s">
        <v>28</v>
      </c>
      <c r="C15" s="7" t="s">
        <v>29</v>
      </c>
      <c r="D15" s="7" t="s">
        <v>30</v>
      </c>
      <c r="E15" s="7" t="s">
        <v>31</v>
      </c>
      <c r="F15" s="8">
        <v>46061</v>
      </c>
      <c r="G15" s="8">
        <v>46092</v>
      </c>
      <c r="H15" s="8">
        <v>46106</v>
      </c>
      <c r="I15" s="11">
        <v>25000</v>
      </c>
      <c r="J15" s="11">
        <v>25000</v>
      </c>
      <c r="K15" s="12">
        <f t="shared" si="0"/>
        <v>0</v>
      </c>
      <c r="L15" t="str">
        <f t="shared" si="1"/>
        <v>Paid</v>
      </c>
      <c r="M15">
        <f t="shared" ca="1" si="2"/>
        <v>14</v>
      </c>
      <c r="N15" t="str">
        <f t="shared" ca="1" si="3"/>
        <v>1-30 Days</v>
      </c>
      <c r="O15" t="str">
        <f t="shared" si="4"/>
        <v>Low</v>
      </c>
      <c r="P15" t="str">
        <f t="shared" ca="1" si="5"/>
        <v>Low</v>
      </c>
      <c r="Q15" s="5">
        <f t="shared" si="6"/>
        <v>31</v>
      </c>
      <c r="R15" t="str">
        <f t="shared" si="7"/>
        <v>2026-02</v>
      </c>
      <c r="S15">
        <f t="shared" ca="1" si="8"/>
        <v>1</v>
      </c>
      <c r="T15" t="str">
        <f t="shared" ca="1" si="9"/>
        <v>Overdue</v>
      </c>
    </row>
    <row r="16" spans="1:20" x14ac:dyDescent="0.3">
      <c r="A16" s="7" t="s">
        <v>58</v>
      </c>
      <c r="B16" s="7" t="s">
        <v>33</v>
      </c>
      <c r="C16" s="7" t="s">
        <v>34</v>
      </c>
      <c r="D16" s="7" t="s">
        <v>35</v>
      </c>
      <c r="E16" s="7" t="s">
        <v>36</v>
      </c>
      <c r="F16" s="8">
        <v>46063</v>
      </c>
      <c r="G16" s="8">
        <v>46094</v>
      </c>
      <c r="H16" s="8">
        <v>46094</v>
      </c>
      <c r="I16" s="11">
        <v>2000</v>
      </c>
      <c r="J16" s="11">
        <v>2000</v>
      </c>
      <c r="K16" s="12">
        <f t="shared" si="0"/>
        <v>0</v>
      </c>
      <c r="L16" t="str">
        <f t="shared" si="1"/>
        <v>Paid</v>
      </c>
      <c r="M16">
        <f t="shared" ca="1" si="2"/>
        <v>0</v>
      </c>
      <c r="N16" t="str">
        <f t="shared" ca="1" si="3"/>
        <v>Current</v>
      </c>
      <c r="O16" t="str">
        <f t="shared" si="4"/>
        <v>Low</v>
      </c>
      <c r="P16" t="str">
        <f t="shared" ca="1" si="5"/>
        <v>Low</v>
      </c>
      <c r="Q16" s="5">
        <f t="shared" si="6"/>
        <v>31</v>
      </c>
      <c r="R16" t="str">
        <f t="shared" si="7"/>
        <v>2026-02</v>
      </c>
      <c r="S16">
        <f t="shared" ca="1" si="8"/>
        <v>0</v>
      </c>
      <c r="T16" t="str">
        <f t="shared" ca="1" si="9"/>
        <v>Not Overdue</v>
      </c>
    </row>
    <row r="17" spans="1:20" x14ac:dyDescent="0.3">
      <c r="A17" s="7" t="s">
        <v>59</v>
      </c>
      <c r="B17" s="7" t="s">
        <v>38</v>
      </c>
      <c r="C17" s="7" t="s">
        <v>39</v>
      </c>
      <c r="D17" s="7" t="s">
        <v>17</v>
      </c>
      <c r="E17" s="7" t="s">
        <v>31</v>
      </c>
      <c r="F17" s="8">
        <v>46065</v>
      </c>
      <c r="G17" s="8">
        <v>46096</v>
      </c>
      <c r="H17" s="7"/>
      <c r="I17" s="11">
        <v>12000</v>
      </c>
      <c r="J17" s="11">
        <v>2000</v>
      </c>
      <c r="K17" s="12">
        <f t="shared" si="0"/>
        <v>10000</v>
      </c>
      <c r="L17" t="str">
        <f t="shared" ca="1" si="1"/>
        <v>Overdue</v>
      </c>
      <c r="M17">
        <f t="shared" ca="1" si="2"/>
        <v>62</v>
      </c>
      <c r="N17" t="str">
        <f t="shared" ca="1" si="3"/>
        <v>61-90 Days</v>
      </c>
      <c r="O17" t="str">
        <f t="shared" si="4"/>
        <v>Medium</v>
      </c>
      <c r="P17" t="str">
        <f t="shared" ca="1" si="5"/>
        <v>High</v>
      </c>
      <c r="Q17" s="5">
        <f t="shared" si="6"/>
        <v>31</v>
      </c>
      <c r="R17" t="str">
        <f t="shared" si="7"/>
        <v>2026-02</v>
      </c>
      <c r="S17">
        <f t="shared" ca="1" si="8"/>
        <v>1</v>
      </c>
      <c r="T17" t="str">
        <f t="shared" ca="1" si="9"/>
        <v>Overdue</v>
      </c>
    </row>
    <row r="18" spans="1:20" x14ac:dyDescent="0.3">
      <c r="A18" s="7" t="s">
        <v>60</v>
      </c>
      <c r="B18" s="7" t="s">
        <v>51</v>
      </c>
      <c r="C18" s="7" t="s">
        <v>41</v>
      </c>
      <c r="D18" s="7" t="s">
        <v>17</v>
      </c>
      <c r="E18" s="7" t="s">
        <v>18</v>
      </c>
      <c r="F18" s="8">
        <v>46068</v>
      </c>
      <c r="G18" s="8">
        <v>46099</v>
      </c>
      <c r="H18" s="8">
        <v>46099</v>
      </c>
      <c r="I18" s="11">
        <v>12000</v>
      </c>
      <c r="J18" s="11">
        <v>12000</v>
      </c>
      <c r="K18" s="12">
        <f t="shared" si="0"/>
        <v>0</v>
      </c>
      <c r="L18" t="str">
        <f t="shared" si="1"/>
        <v>Paid</v>
      </c>
      <c r="M18">
        <f t="shared" ca="1" si="2"/>
        <v>0</v>
      </c>
      <c r="N18" t="str">
        <f t="shared" ca="1" si="3"/>
        <v>Current</v>
      </c>
      <c r="O18" t="str">
        <f t="shared" si="4"/>
        <v>Low</v>
      </c>
      <c r="P18" t="str">
        <f t="shared" ca="1" si="5"/>
        <v>Low</v>
      </c>
      <c r="Q18" s="5">
        <f t="shared" si="6"/>
        <v>31</v>
      </c>
      <c r="R18" t="str">
        <f t="shared" si="7"/>
        <v>2026-02</v>
      </c>
      <c r="S18">
        <f t="shared" ca="1" si="8"/>
        <v>0</v>
      </c>
      <c r="T18" t="str">
        <f t="shared" ca="1" si="9"/>
        <v>Not Overdue</v>
      </c>
    </row>
    <row r="19" spans="1:20" x14ac:dyDescent="0.3">
      <c r="A19" s="7" t="s">
        <v>61</v>
      </c>
      <c r="B19" s="7" t="s">
        <v>52</v>
      </c>
      <c r="C19" s="7" t="s">
        <v>21</v>
      </c>
      <c r="D19" s="7" t="s">
        <v>30</v>
      </c>
      <c r="E19" s="7" t="s">
        <v>31</v>
      </c>
      <c r="F19" s="8">
        <v>46071</v>
      </c>
      <c r="G19" s="8">
        <v>46102</v>
      </c>
      <c r="H19" s="7"/>
      <c r="I19" s="11">
        <v>5000</v>
      </c>
      <c r="J19" s="11">
        <v>0</v>
      </c>
      <c r="K19" s="12">
        <f t="shared" si="0"/>
        <v>5000</v>
      </c>
      <c r="L19" t="str">
        <f t="shared" ca="1" si="1"/>
        <v>Overdue</v>
      </c>
      <c r="M19">
        <f t="shared" ca="1" si="2"/>
        <v>56</v>
      </c>
      <c r="N19" t="str">
        <f t="shared" ca="1" si="3"/>
        <v>31-60 Days</v>
      </c>
      <c r="O19" t="str">
        <f t="shared" si="4"/>
        <v>Medium</v>
      </c>
      <c r="P19" t="str">
        <f t="shared" ca="1" si="5"/>
        <v>Medium</v>
      </c>
      <c r="Q19" s="5">
        <f t="shared" si="6"/>
        <v>31</v>
      </c>
      <c r="R19" t="str">
        <f t="shared" si="7"/>
        <v>2026-02</v>
      </c>
      <c r="S19">
        <f t="shared" ca="1" si="8"/>
        <v>1</v>
      </c>
      <c r="T19" t="str">
        <f t="shared" ca="1" si="9"/>
        <v>Overdue</v>
      </c>
    </row>
    <row r="20" spans="1:20" x14ac:dyDescent="0.3">
      <c r="A20" s="7" t="s">
        <v>62</v>
      </c>
      <c r="B20" s="7" t="s">
        <v>20</v>
      </c>
      <c r="C20" s="7" t="s">
        <v>21</v>
      </c>
      <c r="D20" s="7" t="s">
        <v>22</v>
      </c>
      <c r="E20" s="7" t="s">
        <v>23</v>
      </c>
      <c r="F20" s="8">
        <v>46073</v>
      </c>
      <c r="G20" s="8">
        <v>46104</v>
      </c>
      <c r="H20" s="7"/>
      <c r="I20" s="11">
        <v>25000</v>
      </c>
      <c r="J20" s="11">
        <v>0</v>
      </c>
      <c r="K20" s="12">
        <f t="shared" si="0"/>
        <v>25000</v>
      </c>
      <c r="L20" t="str">
        <f t="shared" ca="1" si="1"/>
        <v>Overdue</v>
      </c>
      <c r="M20">
        <f t="shared" ca="1" si="2"/>
        <v>54</v>
      </c>
      <c r="N20" t="str">
        <f t="shared" ca="1" si="3"/>
        <v>31-60 Days</v>
      </c>
      <c r="O20" t="str">
        <f t="shared" si="4"/>
        <v>High</v>
      </c>
      <c r="P20" t="str">
        <f t="shared" ca="1" si="5"/>
        <v>High</v>
      </c>
      <c r="Q20" s="5">
        <f t="shared" si="6"/>
        <v>31</v>
      </c>
      <c r="R20" t="str">
        <f t="shared" si="7"/>
        <v>2026-02</v>
      </c>
      <c r="S20">
        <f t="shared" ca="1" si="8"/>
        <v>1</v>
      </c>
      <c r="T20" t="str">
        <f t="shared" ca="1" si="9"/>
        <v>Overdue</v>
      </c>
    </row>
    <row r="21" spans="1:20" x14ac:dyDescent="0.3">
      <c r="A21" s="7" t="s">
        <v>63</v>
      </c>
      <c r="B21" s="7" t="s">
        <v>53</v>
      </c>
      <c r="C21" s="7" t="s">
        <v>26</v>
      </c>
      <c r="D21" s="7" t="s">
        <v>35</v>
      </c>
      <c r="E21" s="7" t="s">
        <v>36</v>
      </c>
      <c r="F21" s="8">
        <v>46075</v>
      </c>
      <c r="G21" s="8">
        <v>46106</v>
      </c>
      <c r="H21" s="8">
        <v>46106</v>
      </c>
      <c r="I21" s="11">
        <v>2000</v>
      </c>
      <c r="J21" s="11">
        <v>2000</v>
      </c>
      <c r="K21" s="12">
        <f t="shared" si="0"/>
        <v>0</v>
      </c>
      <c r="L21" t="str">
        <f t="shared" si="1"/>
        <v>Paid</v>
      </c>
      <c r="M21">
        <f t="shared" ca="1" si="2"/>
        <v>0</v>
      </c>
      <c r="N21" t="str">
        <f t="shared" ca="1" si="3"/>
        <v>Current</v>
      </c>
      <c r="O21" t="str">
        <f t="shared" si="4"/>
        <v>Low</v>
      </c>
      <c r="P21" t="str">
        <f t="shared" ca="1" si="5"/>
        <v>Low</v>
      </c>
      <c r="Q21" s="5">
        <f t="shared" si="6"/>
        <v>31</v>
      </c>
      <c r="R21" t="str">
        <f t="shared" si="7"/>
        <v>2026-02</v>
      </c>
      <c r="S21">
        <f t="shared" ca="1" si="8"/>
        <v>0</v>
      </c>
      <c r="T21" t="str">
        <f t="shared" ca="1" si="9"/>
        <v>Not Overdue</v>
      </c>
    </row>
    <row r="22" spans="1:20" x14ac:dyDescent="0.3">
      <c r="A22" s="7" t="s">
        <v>64</v>
      </c>
      <c r="B22" s="7" t="s">
        <v>15</v>
      </c>
      <c r="C22" s="7" t="s">
        <v>16</v>
      </c>
      <c r="D22" s="7" t="s">
        <v>17</v>
      </c>
      <c r="E22" s="7" t="s">
        <v>18</v>
      </c>
      <c r="F22" s="8">
        <v>46078</v>
      </c>
      <c r="G22" s="8">
        <v>46109</v>
      </c>
      <c r="H22" s="8">
        <v>46114</v>
      </c>
      <c r="I22" s="11">
        <v>5000</v>
      </c>
      <c r="J22" s="11">
        <v>5000</v>
      </c>
      <c r="K22" s="12">
        <f t="shared" si="0"/>
        <v>0</v>
      </c>
      <c r="L22" t="str">
        <f t="shared" si="1"/>
        <v>Paid</v>
      </c>
      <c r="M22">
        <f t="shared" ca="1" si="2"/>
        <v>5</v>
      </c>
      <c r="N22" t="str">
        <f t="shared" ca="1" si="3"/>
        <v>1-30 Days</v>
      </c>
      <c r="O22" t="str">
        <f t="shared" si="4"/>
        <v>Low</v>
      </c>
      <c r="P22" t="str">
        <f t="shared" ca="1" si="5"/>
        <v>Low</v>
      </c>
      <c r="Q22" s="5">
        <f t="shared" si="6"/>
        <v>31</v>
      </c>
      <c r="R22" t="str">
        <f t="shared" si="7"/>
        <v>2026-02</v>
      </c>
      <c r="S22">
        <f t="shared" ca="1" si="8"/>
        <v>1</v>
      </c>
      <c r="T22" t="str">
        <f t="shared" ca="1" si="9"/>
        <v>Overdue</v>
      </c>
    </row>
    <row r="23" spans="1:20" x14ac:dyDescent="0.3">
      <c r="A23" s="7" t="s">
        <v>65</v>
      </c>
      <c r="B23" s="7" t="s">
        <v>25</v>
      </c>
      <c r="C23" s="7" t="s">
        <v>26</v>
      </c>
      <c r="D23" s="7" t="s">
        <v>17</v>
      </c>
      <c r="E23" s="7" t="s">
        <v>18</v>
      </c>
      <c r="F23" s="8">
        <v>46081</v>
      </c>
      <c r="G23" s="8">
        <v>46112</v>
      </c>
      <c r="H23" s="8">
        <v>46112</v>
      </c>
      <c r="I23" s="11">
        <v>2000</v>
      </c>
      <c r="J23" s="11">
        <v>2000</v>
      </c>
      <c r="K23" s="12">
        <f t="shared" si="0"/>
        <v>0</v>
      </c>
      <c r="L23" t="str">
        <f t="shared" si="1"/>
        <v>Paid</v>
      </c>
      <c r="M23">
        <f t="shared" ca="1" si="2"/>
        <v>0</v>
      </c>
      <c r="N23" t="str">
        <f t="shared" ca="1" si="3"/>
        <v>Current</v>
      </c>
      <c r="O23" t="str">
        <f t="shared" si="4"/>
        <v>Low</v>
      </c>
      <c r="P23" t="str">
        <f t="shared" ca="1" si="5"/>
        <v>Low</v>
      </c>
      <c r="Q23" s="5">
        <f t="shared" si="6"/>
        <v>31</v>
      </c>
      <c r="R23" t="str">
        <f t="shared" si="7"/>
        <v>2026-02</v>
      </c>
      <c r="S23">
        <f t="shared" ca="1" si="8"/>
        <v>0</v>
      </c>
      <c r="T23" t="str">
        <f t="shared" ca="1" si="9"/>
        <v>Not Overdue</v>
      </c>
    </row>
    <row r="24" spans="1:20" x14ac:dyDescent="0.3">
      <c r="A24" s="7" t="s">
        <v>66</v>
      </c>
      <c r="B24" s="7" t="s">
        <v>28</v>
      </c>
      <c r="C24" s="7" t="s">
        <v>29</v>
      </c>
      <c r="D24" s="7" t="s">
        <v>30</v>
      </c>
      <c r="E24" s="7" t="s">
        <v>31</v>
      </c>
      <c r="F24" s="8">
        <v>46082</v>
      </c>
      <c r="G24" s="8">
        <v>46113</v>
      </c>
      <c r="H24" s="8">
        <v>46122</v>
      </c>
      <c r="I24" s="11">
        <v>12000</v>
      </c>
      <c r="J24" s="11">
        <v>12000</v>
      </c>
      <c r="K24" s="12">
        <f t="shared" si="0"/>
        <v>0</v>
      </c>
      <c r="L24" t="str">
        <f t="shared" si="1"/>
        <v>Paid</v>
      </c>
      <c r="M24">
        <f t="shared" ca="1" si="2"/>
        <v>9</v>
      </c>
      <c r="N24" t="str">
        <f t="shared" ca="1" si="3"/>
        <v>1-30 Days</v>
      </c>
      <c r="O24" t="str">
        <f t="shared" si="4"/>
        <v>Low</v>
      </c>
      <c r="P24" t="str">
        <f t="shared" ca="1" si="5"/>
        <v>Low</v>
      </c>
      <c r="Q24" s="5">
        <f t="shared" si="6"/>
        <v>31</v>
      </c>
      <c r="R24" t="str">
        <f t="shared" si="7"/>
        <v>2026-03</v>
      </c>
      <c r="S24">
        <f t="shared" ca="1" si="8"/>
        <v>1</v>
      </c>
      <c r="T24" t="str">
        <f t="shared" ca="1" si="9"/>
        <v>Overdue</v>
      </c>
    </row>
    <row r="25" spans="1:20" x14ac:dyDescent="0.3">
      <c r="A25" s="7" t="s">
        <v>67</v>
      </c>
      <c r="B25" s="7" t="s">
        <v>38</v>
      </c>
      <c r="C25" s="7" t="s">
        <v>39</v>
      </c>
      <c r="D25" s="7" t="s">
        <v>17</v>
      </c>
      <c r="E25" s="7" t="s">
        <v>31</v>
      </c>
      <c r="F25" s="8">
        <v>46084</v>
      </c>
      <c r="G25" s="8">
        <v>46115</v>
      </c>
      <c r="H25" s="7"/>
      <c r="I25" s="11">
        <v>25000</v>
      </c>
      <c r="J25" s="11">
        <v>0</v>
      </c>
      <c r="K25" s="12">
        <f t="shared" si="0"/>
        <v>25000</v>
      </c>
      <c r="L25" t="str">
        <f t="shared" ca="1" si="1"/>
        <v>Overdue</v>
      </c>
      <c r="M25">
        <f t="shared" ca="1" si="2"/>
        <v>43</v>
      </c>
      <c r="N25" t="str">
        <f t="shared" ca="1" si="3"/>
        <v>31-60 Days</v>
      </c>
      <c r="O25" t="str">
        <f t="shared" si="4"/>
        <v>High</v>
      </c>
      <c r="P25" t="str">
        <f t="shared" ca="1" si="5"/>
        <v>High</v>
      </c>
      <c r="Q25" s="5">
        <f t="shared" si="6"/>
        <v>31</v>
      </c>
      <c r="R25" t="str">
        <f t="shared" si="7"/>
        <v>2026-03</v>
      </c>
      <c r="S25">
        <f t="shared" ca="1" si="8"/>
        <v>1</v>
      </c>
      <c r="T25" t="str">
        <f t="shared" ca="1" si="9"/>
        <v>Overdue</v>
      </c>
    </row>
    <row r="26" spans="1:20" x14ac:dyDescent="0.3">
      <c r="A26" s="7" t="s">
        <v>68</v>
      </c>
      <c r="B26" s="7" t="s">
        <v>33</v>
      </c>
      <c r="C26" s="7" t="s">
        <v>34</v>
      </c>
      <c r="D26" s="7" t="s">
        <v>35</v>
      </c>
      <c r="E26" s="7" t="s">
        <v>36</v>
      </c>
      <c r="F26" s="8">
        <v>46086</v>
      </c>
      <c r="G26" s="8">
        <v>46117</v>
      </c>
      <c r="H26" s="8">
        <v>46117</v>
      </c>
      <c r="I26" s="11">
        <v>5000</v>
      </c>
      <c r="J26" s="11">
        <v>5000</v>
      </c>
      <c r="K26" s="12">
        <f t="shared" si="0"/>
        <v>0</v>
      </c>
      <c r="L26" t="str">
        <f t="shared" si="1"/>
        <v>Paid</v>
      </c>
      <c r="M26">
        <f t="shared" ca="1" si="2"/>
        <v>0</v>
      </c>
      <c r="N26" t="str">
        <f t="shared" ca="1" si="3"/>
        <v>Current</v>
      </c>
      <c r="O26" t="str">
        <f t="shared" si="4"/>
        <v>Low</v>
      </c>
      <c r="P26" t="str">
        <f t="shared" ca="1" si="5"/>
        <v>Low</v>
      </c>
      <c r="Q26" s="5">
        <f t="shared" si="6"/>
        <v>31</v>
      </c>
      <c r="R26" t="str">
        <f t="shared" si="7"/>
        <v>2026-03</v>
      </c>
      <c r="S26">
        <f t="shared" ca="1" si="8"/>
        <v>0</v>
      </c>
      <c r="T26" t="str">
        <f t="shared" ca="1" si="9"/>
        <v>Not Overdue</v>
      </c>
    </row>
    <row r="27" spans="1:20" x14ac:dyDescent="0.3">
      <c r="A27" s="7" t="s">
        <v>69</v>
      </c>
      <c r="B27" s="7" t="s">
        <v>51</v>
      </c>
      <c r="C27" s="7" t="s">
        <v>41</v>
      </c>
      <c r="D27" s="7" t="s">
        <v>17</v>
      </c>
      <c r="E27" s="7" t="s">
        <v>18</v>
      </c>
      <c r="F27" s="8">
        <v>46089</v>
      </c>
      <c r="G27" s="8">
        <v>46120</v>
      </c>
      <c r="H27" s="8">
        <v>46124</v>
      </c>
      <c r="I27" s="11">
        <v>25000</v>
      </c>
      <c r="J27" s="11">
        <v>25000</v>
      </c>
      <c r="K27" s="12">
        <f t="shared" si="0"/>
        <v>0</v>
      </c>
      <c r="L27" t="str">
        <f t="shared" si="1"/>
        <v>Paid</v>
      </c>
      <c r="M27">
        <f t="shared" ca="1" si="2"/>
        <v>4</v>
      </c>
      <c r="N27" t="str">
        <f t="shared" ca="1" si="3"/>
        <v>1-30 Days</v>
      </c>
      <c r="O27" t="str">
        <f t="shared" si="4"/>
        <v>Low</v>
      </c>
      <c r="P27" t="str">
        <f t="shared" ca="1" si="5"/>
        <v>Low</v>
      </c>
      <c r="Q27" s="5">
        <f t="shared" si="6"/>
        <v>31</v>
      </c>
      <c r="R27" t="str">
        <f t="shared" si="7"/>
        <v>2026-03</v>
      </c>
      <c r="S27">
        <f t="shared" ca="1" si="8"/>
        <v>1</v>
      </c>
      <c r="T27" t="str">
        <f t="shared" ca="1" si="9"/>
        <v>Overdue</v>
      </c>
    </row>
    <row r="28" spans="1:20" x14ac:dyDescent="0.3">
      <c r="A28" s="7" t="s">
        <v>70</v>
      </c>
      <c r="B28" s="7" t="s">
        <v>20</v>
      </c>
      <c r="C28" s="7" t="s">
        <v>21</v>
      </c>
      <c r="D28" s="7" t="s">
        <v>22</v>
      </c>
      <c r="E28" s="7" t="s">
        <v>23</v>
      </c>
      <c r="F28" s="8">
        <v>46091</v>
      </c>
      <c r="G28" s="8">
        <v>46121</v>
      </c>
      <c r="H28" s="7"/>
      <c r="I28" s="11">
        <v>12000</v>
      </c>
      <c r="J28" s="11">
        <v>0</v>
      </c>
      <c r="K28" s="12">
        <f t="shared" si="0"/>
        <v>12000</v>
      </c>
      <c r="L28" t="str">
        <f t="shared" ca="1" si="1"/>
        <v>Overdue</v>
      </c>
      <c r="M28">
        <f t="shared" ca="1" si="2"/>
        <v>37</v>
      </c>
      <c r="N28" t="str">
        <f t="shared" ca="1" si="3"/>
        <v>31-60 Days</v>
      </c>
      <c r="O28" t="str">
        <f t="shared" si="4"/>
        <v>Medium</v>
      </c>
      <c r="P28" t="str">
        <f t="shared" ca="1" si="5"/>
        <v>Medium</v>
      </c>
      <c r="Q28" s="5">
        <f t="shared" si="6"/>
        <v>30</v>
      </c>
      <c r="R28" t="str">
        <f t="shared" si="7"/>
        <v>2026-03</v>
      </c>
      <c r="S28">
        <f t="shared" ca="1" si="8"/>
        <v>1</v>
      </c>
      <c r="T28" t="str">
        <f t="shared" ca="1" si="9"/>
        <v>Overdue</v>
      </c>
    </row>
    <row r="29" spans="1:20" x14ac:dyDescent="0.3">
      <c r="A29" s="7" t="s">
        <v>71</v>
      </c>
      <c r="B29" s="7" t="s">
        <v>52</v>
      </c>
      <c r="C29" s="7" t="s">
        <v>21</v>
      </c>
      <c r="D29" s="7" t="s">
        <v>30</v>
      </c>
      <c r="E29" s="7" t="s">
        <v>31</v>
      </c>
      <c r="F29" s="8">
        <v>46093</v>
      </c>
      <c r="G29" s="8">
        <v>46123</v>
      </c>
      <c r="H29" s="8">
        <v>46123</v>
      </c>
      <c r="I29" s="11">
        <v>2000</v>
      </c>
      <c r="J29" s="11">
        <v>2000</v>
      </c>
      <c r="K29" s="12">
        <f t="shared" si="0"/>
        <v>0</v>
      </c>
      <c r="L29" t="str">
        <f t="shared" si="1"/>
        <v>Paid</v>
      </c>
      <c r="M29">
        <f t="shared" ca="1" si="2"/>
        <v>0</v>
      </c>
      <c r="N29" t="str">
        <f t="shared" ca="1" si="3"/>
        <v>Current</v>
      </c>
      <c r="O29" t="str">
        <f t="shared" si="4"/>
        <v>Low</v>
      </c>
      <c r="P29" t="str">
        <f t="shared" ca="1" si="5"/>
        <v>Low</v>
      </c>
      <c r="Q29" s="5">
        <f t="shared" si="6"/>
        <v>30</v>
      </c>
      <c r="R29" t="str">
        <f t="shared" si="7"/>
        <v>2026-03</v>
      </c>
      <c r="S29">
        <f t="shared" ca="1" si="8"/>
        <v>0</v>
      </c>
      <c r="T29" t="str">
        <f t="shared" ca="1" si="9"/>
        <v>Not Overdue</v>
      </c>
    </row>
    <row r="30" spans="1:20" x14ac:dyDescent="0.3">
      <c r="A30" s="7" t="s">
        <v>72</v>
      </c>
      <c r="B30" s="7" t="s">
        <v>53</v>
      </c>
      <c r="C30" s="7" t="s">
        <v>26</v>
      </c>
      <c r="D30" s="7" t="s">
        <v>35</v>
      </c>
      <c r="E30" s="7" t="s">
        <v>36</v>
      </c>
      <c r="F30" s="8">
        <v>46096</v>
      </c>
      <c r="G30" s="8">
        <v>46126</v>
      </c>
      <c r="H30" s="7"/>
      <c r="I30" s="11">
        <v>5000</v>
      </c>
      <c r="J30" s="11">
        <v>0</v>
      </c>
      <c r="K30" s="12">
        <f t="shared" si="0"/>
        <v>5000</v>
      </c>
      <c r="L30" t="str">
        <f t="shared" ca="1" si="1"/>
        <v>Overdue</v>
      </c>
      <c r="M30">
        <f t="shared" ca="1" si="2"/>
        <v>32</v>
      </c>
      <c r="N30" t="str">
        <f t="shared" ca="1" si="3"/>
        <v>31-60 Days</v>
      </c>
      <c r="O30" t="str">
        <f t="shared" si="4"/>
        <v>Medium</v>
      </c>
      <c r="P30" t="str">
        <f t="shared" ca="1" si="5"/>
        <v>Medium</v>
      </c>
      <c r="Q30" s="5">
        <f t="shared" si="6"/>
        <v>30</v>
      </c>
      <c r="R30" t="str">
        <f t="shared" si="7"/>
        <v>2026-03</v>
      </c>
      <c r="S30">
        <f t="shared" ca="1" si="8"/>
        <v>1</v>
      </c>
      <c r="T30" t="str">
        <f t="shared" ca="1" si="9"/>
        <v>Overdue</v>
      </c>
    </row>
    <row r="31" spans="1:20" x14ac:dyDescent="0.3">
      <c r="A31" s="7" t="s">
        <v>73</v>
      </c>
      <c r="B31" s="7" t="s">
        <v>15</v>
      </c>
      <c r="C31" s="7" t="s">
        <v>16</v>
      </c>
      <c r="D31" s="7" t="s">
        <v>17</v>
      </c>
      <c r="E31" s="7" t="s">
        <v>18</v>
      </c>
      <c r="F31" s="8">
        <v>46099</v>
      </c>
      <c r="G31" s="8">
        <v>46129</v>
      </c>
      <c r="H31" s="8">
        <v>46129</v>
      </c>
      <c r="I31" s="11">
        <v>25000</v>
      </c>
      <c r="J31" s="11">
        <v>25000</v>
      </c>
      <c r="K31" s="12">
        <f t="shared" si="0"/>
        <v>0</v>
      </c>
      <c r="L31" t="str">
        <f t="shared" si="1"/>
        <v>Paid</v>
      </c>
      <c r="M31">
        <f t="shared" ca="1" si="2"/>
        <v>0</v>
      </c>
      <c r="N31" t="str">
        <f t="shared" ca="1" si="3"/>
        <v>Current</v>
      </c>
      <c r="O31" t="str">
        <f t="shared" si="4"/>
        <v>Low</v>
      </c>
      <c r="P31" t="str">
        <f t="shared" ca="1" si="5"/>
        <v>Low</v>
      </c>
      <c r="Q31" s="5">
        <f t="shared" si="6"/>
        <v>30</v>
      </c>
      <c r="R31" t="str">
        <f t="shared" si="7"/>
        <v>2026-03</v>
      </c>
      <c r="S31">
        <f t="shared" ca="1" si="8"/>
        <v>0</v>
      </c>
      <c r="T31" t="str">
        <f t="shared" ca="1" si="9"/>
        <v>Not Overdue</v>
      </c>
    </row>
    <row r="32" spans="1:20" x14ac:dyDescent="0.3">
      <c r="A32" s="7" t="s">
        <v>74</v>
      </c>
      <c r="B32" s="7" t="s">
        <v>25</v>
      </c>
      <c r="C32" s="7" t="s">
        <v>26</v>
      </c>
      <c r="D32" s="7" t="s">
        <v>17</v>
      </c>
      <c r="E32" s="7" t="s">
        <v>18</v>
      </c>
      <c r="F32" s="8">
        <v>46101</v>
      </c>
      <c r="G32" s="8">
        <v>46131</v>
      </c>
      <c r="H32" s="8">
        <v>46134</v>
      </c>
      <c r="I32" s="11">
        <v>12000</v>
      </c>
      <c r="J32" s="11">
        <v>12000</v>
      </c>
      <c r="K32" s="12">
        <f t="shared" si="0"/>
        <v>0</v>
      </c>
      <c r="L32" t="str">
        <f t="shared" si="1"/>
        <v>Paid</v>
      </c>
      <c r="M32">
        <f t="shared" ca="1" si="2"/>
        <v>3</v>
      </c>
      <c r="N32" t="str">
        <f t="shared" ca="1" si="3"/>
        <v>1-30 Days</v>
      </c>
      <c r="O32" t="str">
        <f t="shared" si="4"/>
        <v>Low</v>
      </c>
      <c r="P32" t="str">
        <f t="shared" ca="1" si="5"/>
        <v>Low</v>
      </c>
      <c r="Q32" s="5">
        <f t="shared" si="6"/>
        <v>30</v>
      </c>
      <c r="R32" t="str">
        <f t="shared" si="7"/>
        <v>2026-03</v>
      </c>
      <c r="S32">
        <f t="shared" ca="1" si="8"/>
        <v>1</v>
      </c>
      <c r="T32" t="str">
        <f t="shared" ca="1" si="9"/>
        <v>Overdue</v>
      </c>
    </row>
    <row r="33" spans="1:20" x14ac:dyDescent="0.3">
      <c r="A33" s="7" t="s">
        <v>75</v>
      </c>
      <c r="B33" s="7" t="s">
        <v>38</v>
      </c>
      <c r="C33" s="7" t="s">
        <v>39</v>
      </c>
      <c r="D33" s="7" t="s">
        <v>17</v>
      </c>
      <c r="E33" s="7" t="s">
        <v>31</v>
      </c>
      <c r="F33" s="8">
        <v>46103</v>
      </c>
      <c r="G33" s="8">
        <v>46133</v>
      </c>
      <c r="H33" s="7"/>
      <c r="I33" s="11">
        <v>5000</v>
      </c>
      <c r="J33" s="11">
        <v>0</v>
      </c>
      <c r="K33" s="12">
        <f t="shared" si="0"/>
        <v>5000</v>
      </c>
      <c r="L33" t="str">
        <f t="shared" ca="1" si="1"/>
        <v>Overdue</v>
      </c>
      <c r="M33">
        <f t="shared" ca="1" si="2"/>
        <v>25</v>
      </c>
      <c r="N33" t="str">
        <f t="shared" ca="1" si="3"/>
        <v>1-30 Days</v>
      </c>
      <c r="O33" t="str">
        <f t="shared" si="4"/>
        <v>Medium</v>
      </c>
      <c r="P33" t="str">
        <f t="shared" ca="1" si="5"/>
        <v>Low</v>
      </c>
      <c r="Q33" s="5">
        <f t="shared" si="6"/>
        <v>30</v>
      </c>
      <c r="R33" t="str">
        <f t="shared" si="7"/>
        <v>2026-03</v>
      </c>
      <c r="S33">
        <f t="shared" ca="1" si="8"/>
        <v>1</v>
      </c>
      <c r="T33" t="str">
        <f t="shared" ca="1" si="9"/>
        <v>Overdue</v>
      </c>
    </row>
    <row r="34" spans="1:20" x14ac:dyDescent="0.3">
      <c r="A34" s="7" t="s">
        <v>76</v>
      </c>
      <c r="B34" s="7" t="s">
        <v>28</v>
      </c>
      <c r="C34" s="7" t="s">
        <v>29</v>
      </c>
      <c r="D34" s="7" t="s">
        <v>30</v>
      </c>
      <c r="E34" s="7" t="s">
        <v>31</v>
      </c>
      <c r="F34" s="8">
        <v>46106</v>
      </c>
      <c r="G34" s="8">
        <v>46136</v>
      </c>
      <c r="H34" s="7"/>
      <c r="I34" s="11">
        <v>12000</v>
      </c>
      <c r="J34" s="11">
        <v>6000</v>
      </c>
      <c r="K34" s="12">
        <f t="shared" si="0"/>
        <v>6000</v>
      </c>
      <c r="L34" t="str">
        <f t="shared" ca="1" si="1"/>
        <v>Overdue</v>
      </c>
      <c r="M34">
        <f t="shared" ca="1" si="2"/>
        <v>22</v>
      </c>
      <c r="N34" t="str">
        <f t="shared" ca="1" si="3"/>
        <v>1-30 Days</v>
      </c>
      <c r="O34" t="str">
        <f t="shared" si="4"/>
        <v>Medium</v>
      </c>
      <c r="P34" t="str">
        <f t="shared" ca="1" si="5"/>
        <v>Low</v>
      </c>
      <c r="Q34" s="5">
        <f t="shared" si="6"/>
        <v>30</v>
      </c>
      <c r="R34" t="str">
        <f t="shared" si="7"/>
        <v>2026-03</v>
      </c>
      <c r="S34">
        <f t="shared" ca="1" si="8"/>
        <v>1</v>
      </c>
      <c r="T34" t="str">
        <f t="shared" ca="1" si="9"/>
        <v>Overdue</v>
      </c>
    </row>
    <row r="35" spans="1:20" x14ac:dyDescent="0.3">
      <c r="A35" s="7" t="s">
        <v>77</v>
      </c>
      <c r="B35" s="7" t="s">
        <v>33</v>
      </c>
      <c r="C35" s="7" t="s">
        <v>34</v>
      </c>
      <c r="D35" s="7" t="s">
        <v>35</v>
      </c>
      <c r="E35" s="7" t="s">
        <v>36</v>
      </c>
      <c r="F35" s="8">
        <v>46109</v>
      </c>
      <c r="G35" s="8">
        <v>46139</v>
      </c>
      <c r="H35" s="8">
        <v>46139</v>
      </c>
      <c r="I35" s="11">
        <v>2000</v>
      </c>
      <c r="J35" s="11">
        <v>2000</v>
      </c>
      <c r="K35" s="12">
        <f t="shared" si="0"/>
        <v>0</v>
      </c>
      <c r="L35" t="str">
        <f t="shared" si="1"/>
        <v>Paid</v>
      </c>
      <c r="M35">
        <f t="shared" ca="1" si="2"/>
        <v>0</v>
      </c>
      <c r="N35" t="str">
        <f t="shared" ca="1" si="3"/>
        <v>Current</v>
      </c>
      <c r="O35" t="str">
        <f t="shared" si="4"/>
        <v>Low</v>
      </c>
      <c r="P35" t="str">
        <f t="shared" ca="1" si="5"/>
        <v>Low</v>
      </c>
      <c r="Q35" s="5">
        <f t="shared" si="6"/>
        <v>30</v>
      </c>
      <c r="R35" t="str">
        <f t="shared" si="7"/>
        <v>2026-03</v>
      </c>
      <c r="S35">
        <f t="shared" ca="1" si="8"/>
        <v>0</v>
      </c>
      <c r="T35" t="str">
        <f t="shared" ca="1" si="9"/>
        <v>Not Overdue</v>
      </c>
    </row>
    <row r="36" spans="1:20" x14ac:dyDescent="0.3">
      <c r="A36" s="7" t="s">
        <v>78</v>
      </c>
      <c r="B36" s="7" t="s">
        <v>51</v>
      </c>
      <c r="C36" s="7" t="s">
        <v>41</v>
      </c>
      <c r="D36" s="7" t="s">
        <v>17</v>
      </c>
      <c r="E36" s="7" t="s">
        <v>18</v>
      </c>
      <c r="F36" s="8">
        <v>46111</v>
      </c>
      <c r="G36" s="8">
        <v>46141</v>
      </c>
      <c r="H36" s="8">
        <v>46141</v>
      </c>
      <c r="I36" s="11">
        <v>5000</v>
      </c>
      <c r="J36" s="11">
        <v>5000</v>
      </c>
      <c r="K36" s="12">
        <f t="shared" si="0"/>
        <v>0</v>
      </c>
      <c r="L36" t="str">
        <f t="shared" si="1"/>
        <v>Paid</v>
      </c>
      <c r="M36">
        <f t="shared" ca="1" si="2"/>
        <v>0</v>
      </c>
      <c r="N36" t="str">
        <f t="shared" ca="1" si="3"/>
        <v>Current</v>
      </c>
      <c r="O36" t="str">
        <f t="shared" si="4"/>
        <v>Low</v>
      </c>
      <c r="P36" t="str">
        <f t="shared" ca="1" si="5"/>
        <v>Low</v>
      </c>
      <c r="Q36" s="5">
        <f t="shared" si="6"/>
        <v>30</v>
      </c>
      <c r="R36" t="str">
        <f t="shared" si="7"/>
        <v>2026-03</v>
      </c>
      <c r="S36">
        <f t="shared" ca="1" si="8"/>
        <v>0</v>
      </c>
      <c r="T36" t="str">
        <f t="shared" ca="1" si="9"/>
        <v>Not Overdue</v>
      </c>
    </row>
    <row r="37" spans="1:20" x14ac:dyDescent="0.3">
      <c r="A37" s="7" t="s">
        <v>79</v>
      </c>
      <c r="B37" s="7" t="s">
        <v>20</v>
      </c>
      <c r="C37" s="7" t="s">
        <v>21</v>
      </c>
      <c r="D37" s="7" t="s">
        <v>22</v>
      </c>
      <c r="E37" s="7" t="s">
        <v>23</v>
      </c>
      <c r="F37" s="8">
        <v>46113</v>
      </c>
      <c r="G37" s="8">
        <v>46143</v>
      </c>
      <c r="H37" s="7"/>
      <c r="I37" s="11">
        <v>25000</v>
      </c>
      <c r="J37" s="11">
        <v>0</v>
      </c>
      <c r="K37" s="12">
        <f t="shared" si="0"/>
        <v>25000</v>
      </c>
      <c r="L37" t="str">
        <f t="shared" ca="1" si="1"/>
        <v>Overdue</v>
      </c>
      <c r="M37">
        <f t="shared" ca="1" si="2"/>
        <v>15</v>
      </c>
      <c r="N37" t="str">
        <f t="shared" ca="1" si="3"/>
        <v>1-30 Days</v>
      </c>
      <c r="O37" t="str">
        <f t="shared" si="4"/>
        <v>High</v>
      </c>
      <c r="P37" t="str">
        <f t="shared" ca="1" si="5"/>
        <v>High</v>
      </c>
      <c r="Q37" s="5">
        <f t="shared" si="6"/>
        <v>30</v>
      </c>
      <c r="R37" t="str">
        <f t="shared" si="7"/>
        <v>2026-04</v>
      </c>
      <c r="S37">
        <f t="shared" ca="1" si="8"/>
        <v>1</v>
      </c>
      <c r="T37" t="str">
        <f t="shared" ca="1" si="9"/>
        <v>Overdue</v>
      </c>
    </row>
    <row r="38" spans="1:20" x14ac:dyDescent="0.3">
      <c r="A38" s="7" t="s">
        <v>80</v>
      </c>
      <c r="B38" s="7" t="s">
        <v>52</v>
      </c>
      <c r="C38" s="7" t="s">
        <v>21</v>
      </c>
      <c r="D38" s="7" t="s">
        <v>30</v>
      </c>
      <c r="E38" s="7" t="s">
        <v>31</v>
      </c>
      <c r="F38" s="8">
        <v>46114</v>
      </c>
      <c r="G38" s="8">
        <v>46144</v>
      </c>
      <c r="H38" s="7"/>
      <c r="I38" s="11">
        <v>12000</v>
      </c>
      <c r="J38" s="11">
        <v>0</v>
      </c>
      <c r="K38" s="12">
        <f t="shared" si="0"/>
        <v>12000</v>
      </c>
      <c r="L38" t="str">
        <f t="shared" ca="1" si="1"/>
        <v>Overdue</v>
      </c>
      <c r="M38">
        <f t="shared" ca="1" si="2"/>
        <v>14</v>
      </c>
      <c r="N38" t="str">
        <f t="shared" ca="1" si="3"/>
        <v>1-30 Days</v>
      </c>
      <c r="O38" t="str">
        <f t="shared" si="4"/>
        <v>Medium</v>
      </c>
      <c r="P38" t="str">
        <f t="shared" ca="1" si="5"/>
        <v>Low</v>
      </c>
      <c r="Q38" s="5">
        <f t="shared" si="6"/>
        <v>30</v>
      </c>
      <c r="R38" t="str">
        <f t="shared" si="7"/>
        <v>2026-04</v>
      </c>
      <c r="S38">
        <f t="shared" ca="1" si="8"/>
        <v>1</v>
      </c>
      <c r="T38" t="str">
        <f t="shared" ca="1" si="9"/>
        <v>Overdue</v>
      </c>
    </row>
    <row r="39" spans="1:20" x14ac:dyDescent="0.3">
      <c r="A39" s="7" t="s">
        <v>81</v>
      </c>
      <c r="B39" s="7" t="s">
        <v>53</v>
      </c>
      <c r="C39" s="7" t="s">
        <v>26</v>
      </c>
      <c r="D39" s="7" t="s">
        <v>35</v>
      </c>
      <c r="E39" s="7" t="s">
        <v>36</v>
      </c>
      <c r="F39" s="8">
        <v>46116</v>
      </c>
      <c r="G39" s="8">
        <v>46146</v>
      </c>
      <c r="H39" s="8">
        <v>46146</v>
      </c>
      <c r="I39" s="11">
        <v>2000</v>
      </c>
      <c r="J39" s="11">
        <v>2000</v>
      </c>
      <c r="K39" s="12">
        <f t="shared" si="0"/>
        <v>0</v>
      </c>
      <c r="L39" t="str">
        <f t="shared" si="1"/>
        <v>Paid</v>
      </c>
      <c r="M39">
        <f t="shared" ca="1" si="2"/>
        <v>0</v>
      </c>
      <c r="N39" t="str">
        <f t="shared" ca="1" si="3"/>
        <v>Current</v>
      </c>
      <c r="O39" t="str">
        <f t="shared" si="4"/>
        <v>Low</v>
      </c>
      <c r="P39" t="str">
        <f t="shared" ca="1" si="5"/>
        <v>Low</v>
      </c>
      <c r="Q39" s="5">
        <f t="shared" si="6"/>
        <v>30</v>
      </c>
      <c r="R39" t="str">
        <f t="shared" si="7"/>
        <v>2026-04</v>
      </c>
      <c r="S39">
        <f t="shared" ca="1" si="8"/>
        <v>0</v>
      </c>
      <c r="T39" t="str">
        <f t="shared" ca="1" si="9"/>
        <v>Not Overdue</v>
      </c>
    </row>
    <row r="40" spans="1:20" x14ac:dyDescent="0.3">
      <c r="A40" s="7" t="s">
        <v>82</v>
      </c>
      <c r="B40" s="7" t="s">
        <v>15</v>
      </c>
      <c r="C40" s="7" t="s">
        <v>16</v>
      </c>
      <c r="D40" s="7" t="s">
        <v>17</v>
      </c>
      <c r="E40" s="7" t="s">
        <v>18</v>
      </c>
      <c r="F40" s="8">
        <v>46117</v>
      </c>
      <c r="G40" s="8">
        <v>46147</v>
      </c>
      <c r="H40" s="7"/>
      <c r="I40" s="11">
        <v>5000</v>
      </c>
      <c r="J40" s="11">
        <v>0</v>
      </c>
      <c r="K40" s="12">
        <f t="shared" si="0"/>
        <v>5000</v>
      </c>
      <c r="L40" t="str">
        <f t="shared" ca="1" si="1"/>
        <v>Overdue</v>
      </c>
      <c r="M40">
        <f t="shared" ca="1" si="2"/>
        <v>11</v>
      </c>
      <c r="N40" t="str">
        <f t="shared" ca="1" si="3"/>
        <v>1-30 Days</v>
      </c>
      <c r="O40" t="str">
        <f t="shared" si="4"/>
        <v>Medium</v>
      </c>
      <c r="P40" t="str">
        <f t="shared" ca="1" si="5"/>
        <v>Low</v>
      </c>
      <c r="Q40" s="5">
        <f t="shared" si="6"/>
        <v>30</v>
      </c>
      <c r="R40" t="str">
        <f t="shared" si="7"/>
        <v>2026-04</v>
      </c>
      <c r="S40">
        <f t="shared" ca="1" si="8"/>
        <v>1</v>
      </c>
      <c r="T40" t="str">
        <f t="shared" ca="1" si="9"/>
        <v>Overdue</v>
      </c>
    </row>
    <row r="41" spans="1:20" x14ac:dyDescent="0.3">
      <c r="A41" s="7" t="s">
        <v>83</v>
      </c>
      <c r="B41" s="7" t="s">
        <v>25</v>
      </c>
      <c r="C41" s="7" t="s">
        <v>26</v>
      </c>
      <c r="D41" s="7" t="s">
        <v>17</v>
      </c>
      <c r="E41" s="7" t="s">
        <v>18</v>
      </c>
      <c r="F41" s="8">
        <v>46119</v>
      </c>
      <c r="G41" s="8">
        <v>46149</v>
      </c>
      <c r="H41" s="8">
        <v>46149</v>
      </c>
      <c r="I41" s="11">
        <v>12000</v>
      </c>
      <c r="J41" s="11">
        <v>12000</v>
      </c>
      <c r="K41" s="12">
        <f t="shared" si="0"/>
        <v>0</v>
      </c>
      <c r="L41" t="str">
        <f t="shared" si="1"/>
        <v>Paid</v>
      </c>
      <c r="M41">
        <f t="shared" ca="1" si="2"/>
        <v>0</v>
      </c>
      <c r="N41" t="str">
        <f t="shared" ca="1" si="3"/>
        <v>Current</v>
      </c>
      <c r="O41" t="str">
        <f t="shared" si="4"/>
        <v>Low</v>
      </c>
      <c r="P41" t="str">
        <f t="shared" ca="1" si="5"/>
        <v>Low</v>
      </c>
      <c r="Q41" s="5">
        <f t="shared" si="6"/>
        <v>30</v>
      </c>
      <c r="R41" t="str">
        <f t="shared" si="7"/>
        <v>2026-04</v>
      </c>
      <c r="S41">
        <f t="shared" ca="1" si="8"/>
        <v>0</v>
      </c>
      <c r="T41" t="str">
        <f t="shared" ca="1" si="9"/>
        <v>Not Overdue</v>
      </c>
    </row>
    <row r="42" spans="1:20" x14ac:dyDescent="0.3">
      <c r="A42" s="7" t="s">
        <v>84</v>
      </c>
      <c r="B42" s="7" t="s">
        <v>38</v>
      </c>
      <c r="C42" s="7" t="s">
        <v>39</v>
      </c>
      <c r="D42" s="7" t="s">
        <v>17</v>
      </c>
      <c r="E42" s="7" t="s">
        <v>31</v>
      </c>
      <c r="F42" s="8">
        <v>46120</v>
      </c>
      <c r="G42" s="8">
        <v>46150</v>
      </c>
      <c r="H42" s="7"/>
      <c r="I42" s="11">
        <v>12000</v>
      </c>
      <c r="J42" s="11">
        <v>0</v>
      </c>
      <c r="K42" s="12">
        <f t="shared" si="0"/>
        <v>12000</v>
      </c>
      <c r="L42" t="str">
        <f t="shared" ca="1" si="1"/>
        <v>Overdue</v>
      </c>
      <c r="M42">
        <f t="shared" ca="1" si="2"/>
        <v>8</v>
      </c>
      <c r="N42" t="str">
        <f t="shared" ca="1" si="3"/>
        <v>1-30 Days</v>
      </c>
      <c r="O42" t="str">
        <f t="shared" si="4"/>
        <v>Medium</v>
      </c>
      <c r="P42" t="str">
        <f t="shared" ca="1" si="5"/>
        <v>Low</v>
      </c>
      <c r="Q42" s="5">
        <f t="shared" si="6"/>
        <v>30</v>
      </c>
      <c r="R42" t="str">
        <f t="shared" si="7"/>
        <v>2026-04</v>
      </c>
      <c r="S42">
        <f t="shared" ca="1" si="8"/>
        <v>1</v>
      </c>
      <c r="T42" t="str">
        <f t="shared" ca="1" si="9"/>
        <v>Overdue</v>
      </c>
    </row>
    <row r="43" spans="1:20" x14ac:dyDescent="0.3">
      <c r="A43" s="7" t="s">
        <v>85</v>
      </c>
      <c r="B43" s="7" t="s">
        <v>28</v>
      </c>
      <c r="C43" s="7" t="s">
        <v>29</v>
      </c>
      <c r="D43" s="7" t="s">
        <v>30</v>
      </c>
      <c r="E43" s="7" t="s">
        <v>31</v>
      </c>
      <c r="F43" s="8">
        <v>46122</v>
      </c>
      <c r="G43" s="8">
        <v>46152</v>
      </c>
      <c r="H43" s="7"/>
      <c r="I43" s="11">
        <v>25000</v>
      </c>
      <c r="J43" s="11">
        <v>0</v>
      </c>
      <c r="K43" s="12">
        <f t="shared" si="0"/>
        <v>25000</v>
      </c>
      <c r="L43" t="str">
        <f t="shared" ca="1" si="1"/>
        <v>Overdue</v>
      </c>
      <c r="M43">
        <f t="shared" ca="1" si="2"/>
        <v>6</v>
      </c>
      <c r="N43" t="str">
        <f t="shared" ca="1" si="3"/>
        <v>1-30 Days</v>
      </c>
      <c r="O43" t="str">
        <f t="shared" si="4"/>
        <v>High</v>
      </c>
      <c r="P43" t="str">
        <f t="shared" ca="1" si="5"/>
        <v>High</v>
      </c>
      <c r="Q43" s="5">
        <f t="shared" si="6"/>
        <v>30</v>
      </c>
      <c r="R43" t="str">
        <f t="shared" si="7"/>
        <v>2026-04</v>
      </c>
      <c r="S43">
        <f t="shared" ca="1" si="8"/>
        <v>1</v>
      </c>
      <c r="T43" t="str">
        <f t="shared" ca="1" si="9"/>
        <v>Overdue</v>
      </c>
    </row>
    <row r="44" spans="1:20" x14ac:dyDescent="0.3">
      <c r="A44" s="7" t="s">
        <v>86</v>
      </c>
      <c r="B44" s="7" t="s">
        <v>33</v>
      </c>
      <c r="C44" s="7" t="s">
        <v>34</v>
      </c>
      <c r="D44" s="7" t="s">
        <v>35</v>
      </c>
      <c r="E44" s="7" t="s">
        <v>36</v>
      </c>
      <c r="F44" s="8">
        <v>46124</v>
      </c>
      <c r="G44" s="8">
        <v>46154</v>
      </c>
      <c r="H44" s="8">
        <v>46154</v>
      </c>
      <c r="I44" s="11">
        <v>5000</v>
      </c>
      <c r="J44" s="11">
        <v>5000</v>
      </c>
      <c r="K44" s="12">
        <f t="shared" si="0"/>
        <v>0</v>
      </c>
      <c r="L44" t="str">
        <f t="shared" si="1"/>
        <v>Paid</v>
      </c>
      <c r="M44">
        <f t="shared" ca="1" si="2"/>
        <v>0</v>
      </c>
      <c r="N44" t="str">
        <f t="shared" ca="1" si="3"/>
        <v>Current</v>
      </c>
      <c r="O44" t="str">
        <f t="shared" si="4"/>
        <v>Low</v>
      </c>
      <c r="P44" t="str">
        <f t="shared" ca="1" si="5"/>
        <v>Low</v>
      </c>
      <c r="Q44" s="5">
        <f t="shared" si="6"/>
        <v>30</v>
      </c>
      <c r="R44" t="str">
        <f t="shared" si="7"/>
        <v>2026-04</v>
      </c>
      <c r="S44">
        <f t="shared" ca="1" si="8"/>
        <v>0</v>
      </c>
      <c r="T44" t="str">
        <f t="shared" ca="1" si="9"/>
        <v>Not Overdue</v>
      </c>
    </row>
    <row r="45" spans="1:20" x14ac:dyDescent="0.3">
      <c r="A45" s="7" t="s">
        <v>87</v>
      </c>
      <c r="B45" s="7" t="s">
        <v>51</v>
      </c>
      <c r="C45" s="7" t="s">
        <v>41</v>
      </c>
      <c r="D45" s="7" t="s">
        <v>17</v>
      </c>
      <c r="E45" s="7" t="s">
        <v>18</v>
      </c>
      <c r="F45" s="8">
        <v>46126</v>
      </c>
      <c r="G45" s="8">
        <v>46156</v>
      </c>
      <c r="H45" s="7"/>
      <c r="I45" s="11">
        <v>2000</v>
      </c>
      <c r="J45" s="11">
        <v>0</v>
      </c>
      <c r="K45" s="12">
        <f t="shared" si="0"/>
        <v>2000</v>
      </c>
      <c r="L45" t="str">
        <f t="shared" ca="1" si="1"/>
        <v>Overdue</v>
      </c>
      <c r="M45">
        <f t="shared" ca="1" si="2"/>
        <v>2</v>
      </c>
      <c r="N45" t="str">
        <f t="shared" ca="1" si="3"/>
        <v>1-30 Days</v>
      </c>
      <c r="O45" t="str">
        <f t="shared" si="4"/>
        <v>Low</v>
      </c>
      <c r="P45" t="str">
        <f t="shared" ca="1" si="5"/>
        <v>Low</v>
      </c>
      <c r="Q45" s="5">
        <f t="shared" si="6"/>
        <v>30</v>
      </c>
      <c r="R45" t="str">
        <f t="shared" si="7"/>
        <v>2026-04</v>
      </c>
      <c r="S45">
        <f t="shared" ca="1" si="8"/>
        <v>1</v>
      </c>
      <c r="T45" t="str">
        <f t="shared" ca="1" si="9"/>
        <v>Overdue</v>
      </c>
    </row>
    <row r="46" spans="1:20" x14ac:dyDescent="0.3">
      <c r="A46" s="7" t="s">
        <v>88</v>
      </c>
      <c r="B46" s="7" t="s">
        <v>20</v>
      </c>
      <c r="C46" s="7" t="s">
        <v>21</v>
      </c>
      <c r="D46" s="7" t="s">
        <v>22</v>
      </c>
      <c r="E46" s="7" t="s">
        <v>23</v>
      </c>
      <c r="F46" s="8">
        <v>46127</v>
      </c>
      <c r="G46" s="8">
        <v>46157</v>
      </c>
      <c r="H46" s="7"/>
      <c r="I46" s="11">
        <v>2000</v>
      </c>
      <c r="J46" s="11">
        <v>0</v>
      </c>
      <c r="K46" s="12">
        <f t="shared" si="0"/>
        <v>2000</v>
      </c>
      <c r="L46" t="str">
        <f t="shared" ca="1" si="1"/>
        <v>Overdue</v>
      </c>
      <c r="M46">
        <f t="shared" ca="1" si="2"/>
        <v>1</v>
      </c>
      <c r="N46" t="str">
        <f t="shared" ca="1" si="3"/>
        <v>1-30 Days</v>
      </c>
      <c r="O46" t="str">
        <f t="shared" si="4"/>
        <v>Low</v>
      </c>
      <c r="P46" t="str">
        <f t="shared" ca="1" si="5"/>
        <v>Low</v>
      </c>
      <c r="Q46" s="5">
        <f t="shared" si="6"/>
        <v>30</v>
      </c>
      <c r="R46" t="str">
        <f t="shared" si="7"/>
        <v>2026-04</v>
      </c>
      <c r="S46">
        <f t="shared" ca="1" si="8"/>
        <v>1</v>
      </c>
      <c r="T46" t="str">
        <f t="shared" ca="1" si="9"/>
        <v>Overdue</v>
      </c>
    </row>
    <row r="47" spans="1:20" x14ac:dyDescent="0.3">
      <c r="A47" s="7" t="s">
        <v>89</v>
      </c>
      <c r="B47" s="7" t="s">
        <v>52</v>
      </c>
      <c r="C47" s="7" t="s">
        <v>21</v>
      </c>
      <c r="D47" s="7" t="s">
        <v>30</v>
      </c>
      <c r="E47" s="7" t="s">
        <v>31</v>
      </c>
      <c r="F47" s="8">
        <v>46128</v>
      </c>
      <c r="G47" s="8">
        <v>46158</v>
      </c>
      <c r="H47" s="7"/>
      <c r="I47" s="11">
        <v>5000</v>
      </c>
      <c r="J47" s="11">
        <v>0</v>
      </c>
      <c r="K47" s="12">
        <f t="shared" si="0"/>
        <v>5000</v>
      </c>
      <c r="L47" t="str">
        <f t="shared" ca="1" si="1"/>
        <v>Open</v>
      </c>
      <c r="M47">
        <f t="shared" ca="1" si="2"/>
        <v>0</v>
      </c>
      <c r="N47" t="str">
        <f t="shared" ca="1" si="3"/>
        <v>Current</v>
      </c>
      <c r="O47" t="str">
        <f t="shared" si="4"/>
        <v>Medium</v>
      </c>
      <c r="P47" t="str">
        <f t="shared" ca="1" si="5"/>
        <v>Low</v>
      </c>
      <c r="Q47" s="5">
        <f t="shared" si="6"/>
        <v>30</v>
      </c>
      <c r="R47" t="str">
        <f t="shared" si="7"/>
        <v>2026-04</v>
      </c>
      <c r="S47">
        <f t="shared" ca="1" si="8"/>
        <v>0</v>
      </c>
      <c r="T47" t="str">
        <f t="shared" ca="1" si="9"/>
        <v>Not Overdue</v>
      </c>
    </row>
    <row r="48" spans="1:20" x14ac:dyDescent="0.3">
      <c r="A48" s="7" t="s">
        <v>90</v>
      </c>
      <c r="B48" s="7" t="s">
        <v>53</v>
      </c>
      <c r="C48" s="7" t="s">
        <v>26</v>
      </c>
      <c r="D48" s="7" t="s">
        <v>35</v>
      </c>
      <c r="E48" s="7" t="s">
        <v>36</v>
      </c>
      <c r="F48" s="8">
        <v>46130</v>
      </c>
      <c r="G48" s="8">
        <v>46160</v>
      </c>
      <c r="H48" s="7"/>
      <c r="I48" s="11">
        <v>12000</v>
      </c>
      <c r="J48" s="11">
        <v>0</v>
      </c>
      <c r="K48" s="12">
        <f t="shared" si="0"/>
        <v>12000</v>
      </c>
      <c r="L48" t="str">
        <f t="shared" ca="1" si="1"/>
        <v>Open</v>
      </c>
      <c r="M48">
        <f t="shared" ca="1" si="2"/>
        <v>0</v>
      </c>
      <c r="N48" t="str">
        <f t="shared" ca="1" si="3"/>
        <v>Current</v>
      </c>
      <c r="O48" t="str">
        <f t="shared" si="4"/>
        <v>Medium</v>
      </c>
      <c r="P48" t="str">
        <f t="shared" ca="1" si="5"/>
        <v>Low</v>
      </c>
      <c r="Q48" s="5">
        <f t="shared" si="6"/>
        <v>30</v>
      </c>
      <c r="R48" t="str">
        <f t="shared" si="7"/>
        <v>2026-04</v>
      </c>
      <c r="S48">
        <f t="shared" ca="1" si="8"/>
        <v>0</v>
      </c>
      <c r="T48" t="str">
        <f t="shared" ca="1" si="9"/>
        <v>Not Overdue</v>
      </c>
    </row>
    <row r="49" spans="1:20" x14ac:dyDescent="0.3">
      <c r="A49" s="7" t="s">
        <v>91</v>
      </c>
      <c r="B49" s="7" t="s">
        <v>15</v>
      </c>
      <c r="C49" s="7" t="s">
        <v>16</v>
      </c>
      <c r="D49" s="7" t="s">
        <v>17</v>
      </c>
      <c r="E49" s="7" t="s">
        <v>18</v>
      </c>
      <c r="F49" s="8">
        <v>46132</v>
      </c>
      <c r="G49" s="8">
        <v>46162</v>
      </c>
      <c r="H49" s="7"/>
      <c r="I49" s="11">
        <v>25000</v>
      </c>
      <c r="J49" s="11">
        <v>0</v>
      </c>
      <c r="K49" s="12">
        <f t="shared" si="0"/>
        <v>25000</v>
      </c>
      <c r="L49" t="str">
        <f t="shared" ca="1" si="1"/>
        <v>Open</v>
      </c>
      <c r="M49">
        <f t="shared" ca="1" si="2"/>
        <v>0</v>
      </c>
      <c r="N49" t="str">
        <f t="shared" ca="1" si="3"/>
        <v>Current</v>
      </c>
      <c r="O49" t="str">
        <f t="shared" si="4"/>
        <v>High</v>
      </c>
      <c r="P49" t="str">
        <f t="shared" ca="1" si="5"/>
        <v>High</v>
      </c>
      <c r="Q49" s="5">
        <f t="shared" si="6"/>
        <v>30</v>
      </c>
      <c r="R49" t="str">
        <f t="shared" si="7"/>
        <v>2026-04</v>
      </c>
      <c r="S49">
        <f t="shared" ca="1" si="8"/>
        <v>0</v>
      </c>
      <c r="T49" t="str">
        <f t="shared" ca="1" si="9"/>
        <v>Not Overdue</v>
      </c>
    </row>
    <row r="50" spans="1:20" x14ac:dyDescent="0.3">
      <c r="A50" s="7" t="s">
        <v>92</v>
      </c>
      <c r="B50" s="7" t="s">
        <v>25</v>
      </c>
      <c r="C50" s="7" t="s">
        <v>26</v>
      </c>
      <c r="D50" s="7" t="s">
        <v>17</v>
      </c>
      <c r="E50" s="7" t="s">
        <v>18</v>
      </c>
      <c r="F50" s="8">
        <v>46134</v>
      </c>
      <c r="G50" s="8">
        <v>46164</v>
      </c>
      <c r="H50" s="7"/>
      <c r="I50" s="11">
        <v>2000</v>
      </c>
      <c r="J50" s="11">
        <v>0</v>
      </c>
      <c r="K50" s="12">
        <f t="shared" si="0"/>
        <v>2000</v>
      </c>
      <c r="L50" t="str">
        <f t="shared" ca="1" si="1"/>
        <v>Open</v>
      </c>
      <c r="M50">
        <f t="shared" ca="1" si="2"/>
        <v>0</v>
      </c>
      <c r="N50" t="str">
        <f t="shared" ca="1" si="3"/>
        <v>Current</v>
      </c>
      <c r="O50" t="str">
        <f t="shared" si="4"/>
        <v>Low</v>
      </c>
      <c r="P50" t="str">
        <f t="shared" ca="1" si="5"/>
        <v>Low</v>
      </c>
      <c r="Q50" s="5">
        <f t="shared" si="6"/>
        <v>30</v>
      </c>
      <c r="R50" t="str">
        <f t="shared" si="7"/>
        <v>2026-04</v>
      </c>
      <c r="S50">
        <f t="shared" ca="1" si="8"/>
        <v>0</v>
      </c>
      <c r="T50" t="str">
        <f t="shared" ca="1" si="9"/>
        <v>Not Overdue</v>
      </c>
    </row>
    <row r="51" spans="1:20" x14ac:dyDescent="0.3">
      <c r="A51" s="7" t="s">
        <v>93</v>
      </c>
      <c r="B51" s="7" t="s">
        <v>38</v>
      </c>
      <c r="C51" s="7" t="s">
        <v>39</v>
      </c>
      <c r="D51" s="7" t="s">
        <v>17</v>
      </c>
      <c r="E51" s="7" t="s">
        <v>31</v>
      </c>
      <c r="F51" s="8">
        <v>46137</v>
      </c>
      <c r="G51" s="8">
        <v>46167</v>
      </c>
      <c r="H51" s="7"/>
      <c r="I51" s="11">
        <v>5000</v>
      </c>
      <c r="J51" s="11">
        <v>0</v>
      </c>
      <c r="K51" s="12">
        <f t="shared" si="0"/>
        <v>5000</v>
      </c>
      <c r="L51" t="str">
        <f t="shared" ca="1" si="1"/>
        <v>Open</v>
      </c>
      <c r="M51">
        <f t="shared" ca="1" si="2"/>
        <v>0</v>
      </c>
      <c r="N51" t="str">
        <f t="shared" ca="1" si="3"/>
        <v>Current</v>
      </c>
      <c r="O51" t="str">
        <f t="shared" si="4"/>
        <v>Medium</v>
      </c>
      <c r="P51" t="str">
        <f t="shared" ca="1" si="5"/>
        <v>Low</v>
      </c>
      <c r="Q51" s="5">
        <f t="shared" si="6"/>
        <v>30</v>
      </c>
      <c r="R51" t="str">
        <f t="shared" si="7"/>
        <v>2026-04</v>
      </c>
      <c r="S51">
        <f t="shared" ca="1" si="8"/>
        <v>0</v>
      </c>
      <c r="T51" t="str">
        <f t="shared" ca="1" si="9"/>
        <v>Not Overdue</v>
      </c>
    </row>
    <row r="52" spans="1:20" x14ac:dyDescent="0.3">
      <c r="A52" s="7" t="s">
        <v>94</v>
      </c>
      <c r="B52" s="7" t="s">
        <v>15</v>
      </c>
      <c r="C52" s="7" t="s">
        <v>16</v>
      </c>
      <c r="D52" s="7" t="s">
        <v>17</v>
      </c>
      <c r="E52" s="7" t="s">
        <v>18</v>
      </c>
      <c r="F52" s="8">
        <v>46028</v>
      </c>
      <c r="G52" s="8">
        <v>46059</v>
      </c>
      <c r="H52" s="8">
        <v>46073</v>
      </c>
      <c r="I52" s="11">
        <v>5000</v>
      </c>
      <c r="J52" s="11">
        <v>5000</v>
      </c>
      <c r="K52" s="12">
        <f t="shared" si="0"/>
        <v>0</v>
      </c>
      <c r="L52" t="str">
        <f t="shared" si="1"/>
        <v>Paid</v>
      </c>
      <c r="M52">
        <f t="shared" ca="1" si="2"/>
        <v>14</v>
      </c>
      <c r="N52" t="str">
        <f t="shared" ca="1" si="3"/>
        <v>1-30 Days</v>
      </c>
      <c r="O52" t="str">
        <f t="shared" si="4"/>
        <v>Low</v>
      </c>
      <c r="P52" t="str">
        <f t="shared" ca="1" si="5"/>
        <v>Low</v>
      </c>
      <c r="Q52" s="5">
        <f t="shared" si="6"/>
        <v>31</v>
      </c>
      <c r="R52" t="str">
        <f t="shared" si="7"/>
        <v>2026-01</v>
      </c>
      <c r="S52">
        <f t="shared" ca="1" si="8"/>
        <v>1</v>
      </c>
      <c r="T52" t="str">
        <f t="shared" ca="1" si="9"/>
        <v>Overdue</v>
      </c>
    </row>
    <row r="53" spans="1:20" x14ac:dyDescent="0.3">
      <c r="A53" s="7" t="s">
        <v>95</v>
      </c>
      <c r="B53" s="7" t="s">
        <v>20</v>
      </c>
      <c r="C53" s="7" t="s">
        <v>21</v>
      </c>
      <c r="D53" s="7" t="s">
        <v>22</v>
      </c>
      <c r="E53" s="7" t="s">
        <v>23</v>
      </c>
      <c r="F53" s="8">
        <v>46033</v>
      </c>
      <c r="G53" s="8">
        <v>46064</v>
      </c>
      <c r="H53" s="7"/>
      <c r="I53" s="11">
        <v>12000</v>
      </c>
      <c r="J53" s="11">
        <v>2000</v>
      </c>
      <c r="K53" s="12">
        <f t="shared" si="0"/>
        <v>10000</v>
      </c>
      <c r="L53" t="str">
        <f t="shared" ca="1" si="1"/>
        <v>Overdue</v>
      </c>
      <c r="M53">
        <f t="shared" ca="1" si="2"/>
        <v>94</v>
      </c>
      <c r="N53" t="str">
        <f t="shared" ca="1" si="3"/>
        <v>90+ Days</v>
      </c>
      <c r="O53" t="str">
        <f t="shared" si="4"/>
        <v>Medium</v>
      </c>
      <c r="P53" t="str">
        <f t="shared" ca="1" si="5"/>
        <v>Low</v>
      </c>
      <c r="Q53" s="5">
        <f t="shared" si="6"/>
        <v>31</v>
      </c>
      <c r="R53" t="str">
        <f t="shared" si="7"/>
        <v>2026-01</v>
      </c>
      <c r="S53">
        <f t="shared" ca="1" si="8"/>
        <v>1</v>
      </c>
      <c r="T53" t="str">
        <f t="shared" ca="1" si="9"/>
        <v>Overdue</v>
      </c>
    </row>
    <row r="54" spans="1:20" x14ac:dyDescent="0.3">
      <c r="A54" s="7" t="s">
        <v>96</v>
      </c>
      <c r="B54" s="7" t="s">
        <v>25</v>
      </c>
      <c r="C54" s="7" t="s">
        <v>26</v>
      </c>
      <c r="D54" s="7" t="s">
        <v>17</v>
      </c>
      <c r="E54" s="7" t="s">
        <v>18</v>
      </c>
      <c r="F54" s="8">
        <v>46036</v>
      </c>
      <c r="G54" s="8">
        <v>46067</v>
      </c>
      <c r="H54" s="8">
        <v>46067</v>
      </c>
      <c r="I54" s="11">
        <v>25000</v>
      </c>
      <c r="J54" s="11">
        <v>25000</v>
      </c>
      <c r="K54" s="12">
        <f t="shared" si="0"/>
        <v>0</v>
      </c>
      <c r="L54" t="str">
        <f t="shared" si="1"/>
        <v>Paid</v>
      </c>
      <c r="M54">
        <f t="shared" ca="1" si="2"/>
        <v>0</v>
      </c>
      <c r="N54" t="str">
        <f t="shared" ca="1" si="3"/>
        <v>Current</v>
      </c>
      <c r="O54" t="str">
        <f t="shared" si="4"/>
        <v>Low</v>
      </c>
      <c r="P54" t="str">
        <f t="shared" ca="1" si="5"/>
        <v>Low</v>
      </c>
      <c r="Q54" s="5">
        <f t="shared" si="6"/>
        <v>31</v>
      </c>
      <c r="R54" t="str">
        <f t="shared" si="7"/>
        <v>2026-01</v>
      </c>
      <c r="S54">
        <f t="shared" ca="1" si="8"/>
        <v>0</v>
      </c>
      <c r="T54" t="str">
        <f t="shared" ca="1" si="9"/>
        <v>Not Overdue</v>
      </c>
    </row>
    <row r="55" spans="1:20" x14ac:dyDescent="0.3">
      <c r="A55" s="7" t="s">
        <v>97</v>
      </c>
      <c r="B55" s="7" t="s">
        <v>38</v>
      </c>
      <c r="C55" s="7" t="s">
        <v>39</v>
      </c>
      <c r="D55" s="7" t="s">
        <v>17</v>
      </c>
      <c r="E55" s="7" t="s">
        <v>31</v>
      </c>
      <c r="F55" s="8">
        <v>46039</v>
      </c>
      <c r="G55" s="8">
        <v>46070</v>
      </c>
      <c r="H55" s="7"/>
      <c r="I55" s="11">
        <v>2000</v>
      </c>
      <c r="J55" s="11">
        <v>0</v>
      </c>
      <c r="K55" s="12">
        <f t="shared" si="0"/>
        <v>2000</v>
      </c>
      <c r="L55" t="str">
        <f t="shared" ca="1" si="1"/>
        <v>Overdue</v>
      </c>
      <c r="M55">
        <f t="shared" ca="1" si="2"/>
        <v>88</v>
      </c>
      <c r="N55" t="str">
        <f t="shared" ca="1" si="3"/>
        <v>61-90 Days</v>
      </c>
      <c r="O55" t="str">
        <f t="shared" si="4"/>
        <v>Low</v>
      </c>
      <c r="P55" t="str">
        <f t="shared" ca="1" si="5"/>
        <v>High</v>
      </c>
      <c r="Q55" s="5">
        <f t="shared" si="6"/>
        <v>31</v>
      </c>
      <c r="R55" t="str">
        <f t="shared" si="7"/>
        <v>2026-01</v>
      </c>
      <c r="S55">
        <f t="shared" ca="1" si="8"/>
        <v>1</v>
      </c>
      <c r="T55" t="str">
        <f t="shared" ca="1" si="9"/>
        <v>Overdue</v>
      </c>
    </row>
    <row r="56" spans="1:20" x14ac:dyDescent="0.3">
      <c r="A56" s="7" t="s">
        <v>98</v>
      </c>
      <c r="B56" s="7" t="s">
        <v>33</v>
      </c>
      <c r="C56" s="7" t="s">
        <v>34</v>
      </c>
      <c r="D56" s="7" t="s">
        <v>35</v>
      </c>
      <c r="E56" s="7" t="s">
        <v>36</v>
      </c>
      <c r="F56" s="8">
        <v>46042</v>
      </c>
      <c r="G56" s="8">
        <v>46073</v>
      </c>
      <c r="H56" s="8">
        <v>46078</v>
      </c>
      <c r="I56" s="11">
        <v>12000</v>
      </c>
      <c r="J56" s="11">
        <v>12000</v>
      </c>
      <c r="K56" s="12">
        <f t="shared" si="0"/>
        <v>0</v>
      </c>
      <c r="L56" t="str">
        <f t="shared" si="1"/>
        <v>Paid</v>
      </c>
      <c r="M56">
        <f t="shared" ca="1" si="2"/>
        <v>5</v>
      </c>
      <c r="N56" t="str">
        <f t="shared" ca="1" si="3"/>
        <v>1-30 Days</v>
      </c>
      <c r="O56" t="str">
        <f t="shared" si="4"/>
        <v>Low</v>
      </c>
      <c r="P56" t="str">
        <f t="shared" ca="1" si="5"/>
        <v>Low</v>
      </c>
      <c r="Q56" s="5">
        <f t="shared" si="6"/>
        <v>31</v>
      </c>
      <c r="R56" t="str">
        <f t="shared" si="7"/>
        <v>2026-01</v>
      </c>
      <c r="S56">
        <f t="shared" ca="1" si="8"/>
        <v>1</v>
      </c>
      <c r="T56" t="str">
        <f t="shared" ca="1" si="9"/>
        <v>Overdue</v>
      </c>
    </row>
    <row r="57" spans="1:20" x14ac:dyDescent="0.3">
      <c r="A57" s="7" t="s">
        <v>99</v>
      </c>
      <c r="B57" s="7" t="s">
        <v>51</v>
      </c>
      <c r="C57" s="7" t="s">
        <v>41</v>
      </c>
      <c r="D57" s="7" t="s">
        <v>17</v>
      </c>
      <c r="E57" s="7" t="s">
        <v>18</v>
      </c>
      <c r="F57" s="8">
        <v>46044</v>
      </c>
      <c r="G57" s="8">
        <v>46075</v>
      </c>
      <c r="H57" s="8">
        <v>46075</v>
      </c>
      <c r="I57" s="11">
        <v>5000</v>
      </c>
      <c r="J57" s="11">
        <v>5000</v>
      </c>
      <c r="K57" s="12">
        <f t="shared" si="0"/>
        <v>0</v>
      </c>
      <c r="L57" t="str">
        <f t="shared" si="1"/>
        <v>Paid</v>
      </c>
      <c r="M57">
        <f t="shared" ca="1" si="2"/>
        <v>0</v>
      </c>
      <c r="N57" t="str">
        <f t="shared" ca="1" si="3"/>
        <v>Current</v>
      </c>
      <c r="O57" t="str">
        <f t="shared" si="4"/>
        <v>Low</v>
      </c>
      <c r="P57" t="str">
        <f t="shared" ca="1" si="5"/>
        <v>Low</v>
      </c>
      <c r="Q57" s="5">
        <f t="shared" si="6"/>
        <v>31</v>
      </c>
      <c r="R57" t="str">
        <f t="shared" si="7"/>
        <v>2026-01</v>
      </c>
      <c r="S57">
        <f t="shared" ca="1" si="8"/>
        <v>0</v>
      </c>
      <c r="T57" t="str">
        <f t="shared" ca="1" si="9"/>
        <v>Not Overdue</v>
      </c>
    </row>
    <row r="58" spans="1:20" x14ac:dyDescent="0.3">
      <c r="A58" s="7" t="s">
        <v>100</v>
      </c>
      <c r="B58" s="7" t="s">
        <v>20</v>
      </c>
      <c r="C58" s="7" t="s">
        <v>21</v>
      </c>
      <c r="D58" s="7" t="s">
        <v>22</v>
      </c>
      <c r="E58" s="7" t="s">
        <v>23</v>
      </c>
      <c r="F58" s="8">
        <v>46048</v>
      </c>
      <c r="G58" s="8">
        <v>46079</v>
      </c>
      <c r="H58" s="7"/>
      <c r="I58" s="11">
        <v>25000</v>
      </c>
      <c r="J58" s="11">
        <v>5000</v>
      </c>
      <c r="K58" s="12">
        <f t="shared" si="0"/>
        <v>20000</v>
      </c>
      <c r="L58" t="str">
        <f t="shared" ca="1" si="1"/>
        <v>Overdue</v>
      </c>
      <c r="M58">
        <f t="shared" ca="1" si="2"/>
        <v>79</v>
      </c>
      <c r="N58" t="str">
        <f t="shared" ca="1" si="3"/>
        <v>61-90 Days</v>
      </c>
      <c r="O58" t="str">
        <f t="shared" si="4"/>
        <v>High</v>
      </c>
      <c r="P58" t="str">
        <f t="shared" ca="1" si="5"/>
        <v>High</v>
      </c>
      <c r="Q58" s="5">
        <f t="shared" si="6"/>
        <v>31</v>
      </c>
      <c r="R58" t="str">
        <f t="shared" si="7"/>
        <v>2026-01</v>
      </c>
      <c r="S58">
        <f t="shared" ca="1" si="8"/>
        <v>1</v>
      </c>
      <c r="T58" t="str">
        <f t="shared" ca="1" si="9"/>
        <v>Overdue</v>
      </c>
    </row>
    <row r="59" spans="1:20" x14ac:dyDescent="0.3">
      <c r="A59" s="7" t="s">
        <v>101</v>
      </c>
      <c r="B59" s="7" t="s">
        <v>52</v>
      </c>
      <c r="C59" s="7" t="s">
        <v>21</v>
      </c>
      <c r="D59" s="7" t="s">
        <v>30</v>
      </c>
      <c r="E59" s="7" t="s">
        <v>31</v>
      </c>
      <c r="F59" s="8">
        <v>46051</v>
      </c>
      <c r="G59" s="8">
        <v>46082</v>
      </c>
      <c r="H59" s="8">
        <v>46082</v>
      </c>
      <c r="I59" s="11">
        <v>2000</v>
      </c>
      <c r="J59" s="11">
        <v>2000</v>
      </c>
      <c r="K59" s="12">
        <f t="shared" si="0"/>
        <v>0</v>
      </c>
      <c r="L59" t="str">
        <f t="shared" si="1"/>
        <v>Paid</v>
      </c>
      <c r="M59">
        <f t="shared" ca="1" si="2"/>
        <v>0</v>
      </c>
      <c r="N59" t="str">
        <f t="shared" ca="1" si="3"/>
        <v>Current</v>
      </c>
      <c r="O59" t="str">
        <f t="shared" si="4"/>
        <v>Low</v>
      </c>
      <c r="P59" t="str">
        <f t="shared" ca="1" si="5"/>
        <v>Low</v>
      </c>
      <c r="Q59" s="5">
        <f t="shared" si="6"/>
        <v>31</v>
      </c>
      <c r="R59" t="str">
        <f t="shared" si="7"/>
        <v>2026-01</v>
      </c>
      <c r="S59">
        <f t="shared" ca="1" si="8"/>
        <v>0</v>
      </c>
      <c r="T59" t="str">
        <f t="shared" ca="1" si="9"/>
        <v>Not Overdue</v>
      </c>
    </row>
    <row r="60" spans="1:20" x14ac:dyDescent="0.3">
      <c r="A60" s="7" t="s">
        <v>102</v>
      </c>
      <c r="B60" s="7" t="s">
        <v>38</v>
      </c>
      <c r="C60" s="7" t="s">
        <v>39</v>
      </c>
      <c r="D60" s="7" t="s">
        <v>17</v>
      </c>
      <c r="E60" s="7" t="s">
        <v>31</v>
      </c>
      <c r="F60" s="8">
        <v>46055</v>
      </c>
      <c r="G60" s="8">
        <v>46086</v>
      </c>
      <c r="H60" s="7"/>
      <c r="I60" s="11">
        <v>12000</v>
      </c>
      <c r="J60" s="11">
        <v>0</v>
      </c>
      <c r="K60" s="12">
        <f t="shared" si="0"/>
        <v>12000</v>
      </c>
      <c r="L60" t="str">
        <f t="shared" ca="1" si="1"/>
        <v>Overdue</v>
      </c>
      <c r="M60">
        <f t="shared" ca="1" si="2"/>
        <v>72</v>
      </c>
      <c r="N60" t="str">
        <f t="shared" ca="1" si="3"/>
        <v>61-90 Days</v>
      </c>
      <c r="O60" t="str">
        <f t="shared" si="4"/>
        <v>Medium</v>
      </c>
      <c r="P60" t="str">
        <f t="shared" ca="1" si="5"/>
        <v>High</v>
      </c>
      <c r="Q60" s="5">
        <f t="shared" si="6"/>
        <v>31</v>
      </c>
      <c r="R60" t="str">
        <f t="shared" si="7"/>
        <v>2026-02</v>
      </c>
      <c r="S60">
        <f t="shared" ca="1" si="8"/>
        <v>1</v>
      </c>
      <c r="T60" t="str">
        <f t="shared" ca="1" si="9"/>
        <v>Overdue</v>
      </c>
    </row>
    <row r="61" spans="1:20" x14ac:dyDescent="0.3">
      <c r="A61" s="7" t="s">
        <v>103</v>
      </c>
      <c r="B61" s="7" t="s">
        <v>53</v>
      </c>
      <c r="C61" s="7" t="s">
        <v>26</v>
      </c>
      <c r="D61" s="7" t="s">
        <v>35</v>
      </c>
      <c r="E61" s="7" t="s">
        <v>36</v>
      </c>
      <c r="F61" s="8">
        <v>46057</v>
      </c>
      <c r="G61" s="8">
        <v>46088</v>
      </c>
      <c r="H61" s="8">
        <v>46088</v>
      </c>
      <c r="I61" s="11">
        <v>25000</v>
      </c>
      <c r="J61" s="11">
        <v>25000</v>
      </c>
      <c r="K61" s="12">
        <f t="shared" si="0"/>
        <v>0</v>
      </c>
      <c r="L61" t="str">
        <f t="shared" si="1"/>
        <v>Paid</v>
      </c>
      <c r="M61">
        <f t="shared" ca="1" si="2"/>
        <v>0</v>
      </c>
      <c r="N61" t="str">
        <f t="shared" ca="1" si="3"/>
        <v>Current</v>
      </c>
      <c r="O61" t="str">
        <f t="shared" si="4"/>
        <v>Low</v>
      </c>
      <c r="P61" t="str">
        <f t="shared" ca="1" si="5"/>
        <v>Low</v>
      </c>
      <c r="Q61" s="5">
        <f t="shared" si="6"/>
        <v>31</v>
      </c>
      <c r="R61" t="str">
        <f t="shared" si="7"/>
        <v>2026-02</v>
      </c>
      <c r="S61">
        <f t="shared" ca="1" si="8"/>
        <v>0</v>
      </c>
      <c r="T61" t="str">
        <f t="shared" ca="1" si="9"/>
        <v>Not Overdue</v>
      </c>
    </row>
    <row r="62" spans="1:20" x14ac:dyDescent="0.3">
      <c r="A62" s="7" t="s">
        <v>104</v>
      </c>
      <c r="B62" s="7" t="s">
        <v>15</v>
      </c>
      <c r="C62" s="7" t="s">
        <v>16</v>
      </c>
      <c r="D62" s="7" t="s">
        <v>17</v>
      </c>
      <c r="E62" s="7" t="s">
        <v>18</v>
      </c>
      <c r="F62" s="8">
        <v>46060</v>
      </c>
      <c r="G62" s="8">
        <v>46091</v>
      </c>
      <c r="H62" s="8">
        <v>46096</v>
      </c>
      <c r="I62" s="11">
        <v>2000</v>
      </c>
      <c r="J62" s="11">
        <v>2000</v>
      </c>
      <c r="K62" s="12">
        <f t="shared" si="0"/>
        <v>0</v>
      </c>
      <c r="L62" t="str">
        <f t="shared" si="1"/>
        <v>Paid</v>
      </c>
      <c r="M62">
        <f t="shared" ca="1" si="2"/>
        <v>5</v>
      </c>
      <c r="N62" t="str">
        <f t="shared" ca="1" si="3"/>
        <v>1-30 Days</v>
      </c>
      <c r="O62" t="str">
        <f t="shared" si="4"/>
        <v>Low</v>
      </c>
      <c r="P62" t="str">
        <f t="shared" ca="1" si="5"/>
        <v>Low</v>
      </c>
      <c r="Q62" s="5">
        <f t="shared" si="6"/>
        <v>31</v>
      </c>
      <c r="R62" t="str">
        <f t="shared" si="7"/>
        <v>2026-02</v>
      </c>
      <c r="S62">
        <f t="shared" ca="1" si="8"/>
        <v>1</v>
      </c>
      <c r="T62" t="str">
        <f t="shared" ca="1" si="9"/>
        <v>Overdue</v>
      </c>
    </row>
    <row r="63" spans="1:20" x14ac:dyDescent="0.3">
      <c r="A63" s="7" t="s">
        <v>105</v>
      </c>
      <c r="B63" s="7" t="s">
        <v>20</v>
      </c>
      <c r="C63" s="7" t="s">
        <v>21</v>
      </c>
      <c r="D63" s="7" t="s">
        <v>22</v>
      </c>
      <c r="E63" s="7" t="s">
        <v>23</v>
      </c>
      <c r="F63" s="8">
        <v>46062</v>
      </c>
      <c r="G63" s="8">
        <v>46093</v>
      </c>
      <c r="H63" s="7"/>
      <c r="I63" s="11">
        <v>5000</v>
      </c>
      <c r="J63" s="11">
        <v>0</v>
      </c>
      <c r="K63" s="12">
        <f t="shared" si="0"/>
        <v>5000</v>
      </c>
      <c r="L63" t="str">
        <f t="shared" ca="1" si="1"/>
        <v>Overdue</v>
      </c>
      <c r="M63">
        <f t="shared" ca="1" si="2"/>
        <v>65</v>
      </c>
      <c r="N63" t="str">
        <f t="shared" ca="1" si="3"/>
        <v>61-90 Days</v>
      </c>
      <c r="O63" t="str">
        <f t="shared" si="4"/>
        <v>Medium</v>
      </c>
      <c r="P63" t="str">
        <f t="shared" ca="1" si="5"/>
        <v>High</v>
      </c>
      <c r="Q63" s="5">
        <f t="shared" si="6"/>
        <v>31</v>
      </c>
      <c r="R63" t="str">
        <f t="shared" si="7"/>
        <v>2026-02</v>
      </c>
      <c r="S63">
        <f t="shared" ca="1" si="8"/>
        <v>1</v>
      </c>
      <c r="T63" t="str">
        <f t="shared" ca="1" si="9"/>
        <v>Overdue</v>
      </c>
    </row>
    <row r="64" spans="1:20" x14ac:dyDescent="0.3">
      <c r="A64" s="7" t="s">
        <v>106</v>
      </c>
      <c r="B64" s="7" t="s">
        <v>25</v>
      </c>
      <c r="C64" s="7" t="s">
        <v>26</v>
      </c>
      <c r="D64" s="7" t="s">
        <v>17</v>
      </c>
      <c r="E64" s="7" t="s">
        <v>18</v>
      </c>
      <c r="F64" s="8">
        <v>46064</v>
      </c>
      <c r="G64" s="8">
        <v>46095</v>
      </c>
      <c r="H64" s="8">
        <v>46095</v>
      </c>
      <c r="I64" s="11">
        <v>12000</v>
      </c>
      <c r="J64" s="11">
        <v>12000</v>
      </c>
      <c r="K64" s="12">
        <f t="shared" si="0"/>
        <v>0</v>
      </c>
      <c r="L64" t="str">
        <f t="shared" si="1"/>
        <v>Paid</v>
      </c>
      <c r="M64">
        <f t="shared" ca="1" si="2"/>
        <v>0</v>
      </c>
      <c r="N64" t="str">
        <f t="shared" ca="1" si="3"/>
        <v>Current</v>
      </c>
      <c r="O64" t="str">
        <f t="shared" si="4"/>
        <v>Low</v>
      </c>
      <c r="P64" t="str">
        <f t="shared" ca="1" si="5"/>
        <v>Low</v>
      </c>
      <c r="Q64" s="5">
        <f t="shared" si="6"/>
        <v>31</v>
      </c>
      <c r="R64" t="str">
        <f t="shared" si="7"/>
        <v>2026-02</v>
      </c>
      <c r="S64">
        <f t="shared" ca="1" si="8"/>
        <v>0</v>
      </c>
      <c r="T64" t="str">
        <f t="shared" ca="1" si="9"/>
        <v>Not Overdue</v>
      </c>
    </row>
    <row r="65" spans="1:20" x14ac:dyDescent="0.3">
      <c r="A65" s="7" t="s">
        <v>107</v>
      </c>
      <c r="B65" s="7" t="s">
        <v>28</v>
      </c>
      <c r="C65" s="7" t="s">
        <v>29</v>
      </c>
      <c r="D65" s="7" t="s">
        <v>30</v>
      </c>
      <c r="E65" s="7" t="s">
        <v>31</v>
      </c>
      <c r="F65" s="8">
        <v>46067</v>
      </c>
      <c r="G65" s="8">
        <v>46098</v>
      </c>
      <c r="H65" s="8">
        <v>46113</v>
      </c>
      <c r="I65" s="11">
        <v>5000</v>
      </c>
      <c r="J65" s="11">
        <v>5000</v>
      </c>
      <c r="K65" s="12">
        <f t="shared" si="0"/>
        <v>0</v>
      </c>
      <c r="L65" t="str">
        <f t="shared" si="1"/>
        <v>Paid</v>
      </c>
      <c r="M65">
        <f t="shared" ca="1" si="2"/>
        <v>15</v>
      </c>
      <c r="N65" t="str">
        <f t="shared" ca="1" si="3"/>
        <v>1-30 Days</v>
      </c>
      <c r="O65" t="str">
        <f t="shared" si="4"/>
        <v>Low</v>
      </c>
      <c r="P65" t="str">
        <f t="shared" ca="1" si="5"/>
        <v>Low</v>
      </c>
      <c r="Q65" s="5">
        <f t="shared" si="6"/>
        <v>31</v>
      </c>
      <c r="R65" t="str">
        <f t="shared" si="7"/>
        <v>2026-02</v>
      </c>
      <c r="S65">
        <f t="shared" ca="1" si="8"/>
        <v>1</v>
      </c>
      <c r="T65" t="str">
        <f t="shared" ca="1" si="9"/>
        <v>Overdue</v>
      </c>
    </row>
    <row r="66" spans="1:20" x14ac:dyDescent="0.3">
      <c r="A66" s="7" t="s">
        <v>108</v>
      </c>
      <c r="B66" s="7" t="s">
        <v>33</v>
      </c>
      <c r="C66" s="7" t="s">
        <v>34</v>
      </c>
      <c r="D66" s="7" t="s">
        <v>35</v>
      </c>
      <c r="E66" s="7" t="s">
        <v>36</v>
      </c>
      <c r="F66" s="8">
        <v>46069</v>
      </c>
      <c r="G66" s="8">
        <v>46100</v>
      </c>
      <c r="H66" s="8">
        <v>46100</v>
      </c>
      <c r="I66" s="11">
        <v>25000</v>
      </c>
      <c r="J66" s="11">
        <v>25000</v>
      </c>
      <c r="K66" s="12">
        <f t="shared" si="0"/>
        <v>0</v>
      </c>
      <c r="L66" t="str">
        <f t="shared" si="1"/>
        <v>Paid</v>
      </c>
      <c r="M66">
        <f t="shared" ca="1" si="2"/>
        <v>0</v>
      </c>
      <c r="N66" t="str">
        <f t="shared" ca="1" si="3"/>
        <v>Current</v>
      </c>
      <c r="O66" t="str">
        <f t="shared" si="4"/>
        <v>Low</v>
      </c>
      <c r="P66" t="str">
        <f t="shared" ca="1" si="5"/>
        <v>Low</v>
      </c>
      <c r="Q66" s="5">
        <f t="shared" si="6"/>
        <v>31</v>
      </c>
      <c r="R66" t="str">
        <f t="shared" si="7"/>
        <v>2026-02</v>
      </c>
      <c r="S66">
        <f t="shared" ca="1" si="8"/>
        <v>0</v>
      </c>
      <c r="T66" t="str">
        <f t="shared" ca="1" si="9"/>
        <v>Not Overdue</v>
      </c>
    </row>
    <row r="67" spans="1:20" x14ac:dyDescent="0.3">
      <c r="A67" s="7" t="s">
        <v>109</v>
      </c>
      <c r="B67" s="7" t="s">
        <v>38</v>
      </c>
      <c r="C67" s="7" t="s">
        <v>39</v>
      </c>
      <c r="D67" s="7" t="s">
        <v>17</v>
      </c>
      <c r="E67" s="7" t="s">
        <v>31</v>
      </c>
      <c r="F67" s="8">
        <v>46072</v>
      </c>
      <c r="G67" s="8">
        <v>46103</v>
      </c>
      <c r="H67" s="7"/>
      <c r="I67" s="11">
        <v>25000</v>
      </c>
      <c r="J67" s="11">
        <v>0</v>
      </c>
      <c r="K67" s="12">
        <f t="shared" ref="K67:K101" si="10">I67-J67</f>
        <v>25000</v>
      </c>
      <c r="L67" t="str">
        <f t="shared" ref="L67:L101" ca="1" si="11">IF(K67=0,"Paid",IF(M67&gt;0,"Overdue","Open"))</f>
        <v>Overdue</v>
      </c>
      <c r="M67">
        <f t="shared" ref="M67:M101" ca="1" si="12">IF(K67=0,H67-G67,MAX(0,TODAY()-G67))</f>
        <v>55</v>
      </c>
      <c r="N67" t="str">
        <f t="shared" ref="N67:N101" ca="1" si="13">IF(M67&lt;=0,"Current",IF(M67&lt;=30,"1-30 Days",IF(M67&lt;=60,"31-60 Days",IF(M67&lt;=90,"61-90 Days","90+ Days"))))</f>
        <v>31-60 Days</v>
      </c>
      <c r="O67" t="str">
        <f t="shared" ref="O67:O101" si="14">IF(K67&gt;=15000,"High",IF(K67&gt;=5000,"Medium","Low"))</f>
        <v>High</v>
      </c>
      <c r="P67" t="str">
        <f t="shared" ref="P67:P101" ca="1" si="15">IF(AND(N67="90+ Days",O67="High"),"Urgent",
IF(OR(N67="61-90 Days",O67="High"),"High",
IF(N67="31-60 Days","Medium","Low")))</f>
        <v>High</v>
      </c>
      <c r="Q67" s="5">
        <f t="shared" ref="Q67:Q101" si="16">G67-F67</f>
        <v>31</v>
      </c>
      <c r="R67" t="str">
        <f t="shared" ref="R67:R101" si="17">TEXT(F67,"YYYY-MM")</f>
        <v>2026-02</v>
      </c>
      <c r="S67">
        <f t="shared" ref="S67:S101" ca="1" si="18">IF(M67&gt;0,1,0)</f>
        <v>1</v>
      </c>
      <c r="T67" t="str">
        <f t="shared" ref="T67:T101" ca="1" si="19">IF(M67&gt;0,"Overdue","Not Overdue")</f>
        <v>Overdue</v>
      </c>
    </row>
    <row r="68" spans="1:20" x14ac:dyDescent="0.3">
      <c r="A68" s="7" t="s">
        <v>110</v>
      </c>
      <c r="B68" s="7" t="s">
        <v>51</v>
      </c>
      <c r="C68" s="7" t="s">
        <v>41</v>
      </c>
      <c r="D68" s="7" t="s">
        <v>17</v>
      </c>
      <c r="E68" s="7" t="s">
        <v>18</v>
      </c>
      <c r="F68" s="8">
        <v>46074</v>
      </c>
      <c r="G68" s="8">
        <v>46105</v>
      </c>
      <c r="H68" s="8">
        <v>46105</v>
      </c>
      <c r="I68" s="11">
        <v>2000</v>
      </c>
      <c r="J68" s="11">
        <v>2000</v>
      </c>
      <c r="K68" s="12">
        <f t="shared" si="10"/>
        <v>0</v>
      </c>
      <c r="L68" t="str">
        <f t="shared" si="11"/>
        <v>Paid</v>
      </c>
      <c r="M68">
        <f t="shared" ca="1" si="12"/>
        <v>0</v>
      </c>
      <c r="N68" t="str">
        <f t="shared" ca="1" si="13"/>
        <v>Current</v>
      </c>
      <c r="O68" t="str">
        <f t="shared" si="14"/>
        <v>Low</v>
      </c>
      <c r="P68" t="str">
        <f t="shared" ca="1" si="15"/>
        <v>Low</v>
      </c>
      <c r="Q68" s="5">
        <f t="shared" si="16"/>
        <v>31</v>
      </c>
      <c r="R68" t="str">
        <f t="shared" si="17"/>
        <v>2026-02</v>
      </c>
      <c r="S68">
        <f t="shared" ca="1" si="18"/>
        <v>0</v>
      </c>
      <c r="T68" t="str">
        <f t="shared" ca="1" si="19"/>
        <v>Not Overdue</v>
      </c>
    </row>
    <row r="69" spans="1:20" x14ac:dyDescent="0.3">
      <c r="A69" s="7" t="s">
        <v>111</v>
      </c>
      <c r="B69" s="7" t="s">
        <v>52</v>
      </c>
      <c r="C69" s="7" t="s">
        <v>21</v>
      </c>
      <c r="D69" s="7" t="s">
        <v>30</v>
      </c>
      <c r="E69" s="7" t="s">
        <v>31</v>
      </c>
      <c r="F69" s="8">
        <v>46077</v>
      </c>
      <c r="G69" s="8">
        <v>46108</v>
      </c>
      <c r="H69" s="7"/>
      <c r="I69" s="11">
        <v>12000</v>
      </c>
      <c r="J69" s="11">
        <v>4000</v>
      </c>
      <c r="K69" s="12">
        <f t="shared" si="10"/>
        <v>8000</v>
      </c>
      <c r="L69" t="str">
        <f t="shared" ca="1" si="11"/>
        <v>Overdue</v>
      </c>
      <c r="M69">
        <f t="shared" ca="1" si="12"/>
        <v>50</v>
      </c>
      <c r="N69" t="str">
        <f t="shared" ca="1" si="13"/>
        <v>31-60 Days</v>
      </c>
      <c r="O69" t="str">
        <f t="shared" si="14"/>
        <v>Medium</v>
      </c>
      <c r="P69" t="str">
        <f t="shared" ca="1" si="15"/>
        <v>Medium</v>
      </c>
      <c r="Q69" s="5">
        <f t="shared" si="16"/>
        <v>31</v>
      </c>
      <c r="R69" t="str">
        <f t="shared" si="17"/>
        <v>2026-02</v>
      </c>
      <c r="S69">
        <f t="shared" ca="1" si="18"/>
        <v>1</v>
      </c>
      <c r="T69" t="str">
        <f t="shared" ca="1" si="19"/>
        <v>Overdue</v>
      </c>
    </row>
    <row r="70" spans="1:20" x14ac:dyDescent="0.3">
      <c r="A70" s="7" t="s">
        <v>112</v>
      </c>
      <c r="B70" s="7" t="s">
        <v>20</v>
      </c>
      <c r="C70" s="7" t="s">
        <v>21</v>
      </c>
      <c r="D70" s="7" t="s">
        <v>22</v>
      </c>
      <c r="E70" s="7" t="s">
        <v>23</v>
      </c>
      <c r="F70" s="8">
        <v>46079</v>
      </c>
      <c r="G70" s="8">
        <v>46110</v>
      </c>
      <c r="H70" s="7"/>
      <c r="I70" s="11">
        <v>12000</v>
      </c>
      <c r="J70" s="11">
        <v>0</v>
      </c>
      <c r="K70" s="12">
        <f t="shared" si="10"/>
        <v>12000</v>
      </c>
      <c r="L70" t="str">
        <f t="shared" ca="1" si="11"/>
        <v>Overdue</v>
      </c>
      <c r="M70">
        <f t="shared" ca="1" si="12"/>
        <v>48</v>
      </c>
      <c r="N70" t="str">
        <f t="shared" ca="1" si="13"/>
        <v>31-60 Days</v>
      </c>
      <c r="O70" t="str">
        <f t="shared" si="14"/>
        <v>Medium</v>
      </c>
      <c r="P70" t="str">
        <f t="shared" ca="1" si="15"/>
        <v>Medium</v>
      </c>
      <c r="Q70" s="5">
        <f t="shared" si="16"/>
        <v>31</v>
      </c>
      <c r="R70" t="str">
        <f t="shared" si="17"/>
        <v>2026-02</v>
      </c>
      <c r="S70">
        <f t="shared" ca="1" si="18"/>
        <v>1</v>
      </c>
      <c r="T70" t="str">
        <f t="shared" ca="1" si="19"/>
        <v>Overdue</v>
      </c>
    </row>
    <row r="71" spans="1:20" x14ac:dyDescent="0.3">
      <c r="A71" s="7" t="s">
        <v>113</v>
      </c>
      <c r="B71" s="7" t="s">
        <v>53</v>
      </c>
      <c r="C71" s="7" t="s">
        <v>26</v>
      </c>
      <c r="D71" s="7" t="s">
        <v>35</v>
      </c>
      <c r="E71" s="7" t="s">
        <v>36</v>
      </c>
      <c r="F71" s="8">
        <v>46080</v>
      </c>
      <c r="G71" s="8">
        <v>46111</v>
      </c>
      <c r="H71" s="8">
        <v>46111</v>
      </c>
      <c r="I71" s="11">
        <v>5000</v>
      </c>
      <c r="J71" s="11">
        <v>5000</v>
      </c>
      <c r="K71" s="12">
        <f t="shared" si="10"/>
        <v>0</v>
      </c>
      <c r="L71" t="str">
        <f t="shared" si="11"/>
        <v>Paid</v>
      </c>
      <c r="M71">
        <f t="shared" ca="1" si="12"/>
        <v>0</v>
      </c>
      <c r="N71" t="str">
        <f t="shared" ca="1" si="13"/>
        <v>Current</v>
      </c>
      <c r="O71" t="str">
        <f t="shared" si="14"/>
        <v>Low</v>
      </c>
      <c r="P71" t="str">
        <f t="shared" ca="1" si="15"/>
        <v>Low</v>
      </c>
      <c r="Q71" s="5">
        <f t="shared" si="16"/>
        <v>31</v>
      </c>
      <c r="R71" t="str">
        <f t="shared" si="17"/>
        <v>2026-02</v>
      </c>
      <c r="S71">
        <f t="shared" ca="1" si="18"/>
        <v>0</v>
      </c>
      <c r="T71" t="str">
        <f t="shared" ca="1" si="19"/>
        <v>Not Overdue</v>
      </c>
    </row>
    <row r="72" spans="1:20" x14ac:dyDescent="0.3">
      <c r="A72" s="7" t="s">
        <v>114</v>
      </c>
      <c r="B72" s="7" t="s">
        <v>15</v>
      </c>
      <c r="C72" s="7" t="s">
        <v>16</v>
      </c>
      <c r="D72" s="7" t="s">
        <v>17</v>
      </c>
      <c r="E72" s="7" t="s">
        <v>18</v>
      </c>
      <c r="F72" s="8">
        <v>46083</v>
      </c>
      <c r="G72" s="8">
        <v>46114</v>
      </c>
      <c r="H72" s="8">
        <v>46117</v>
      </c>
      <c r="I72" s="11">
        <v>25000</v>
      </c>
      <c r="J72" s="11">
        <v>25000</v>
      </c>
      <c r="K72" s="12">
        <f t="shared" si="10"/>
        <v>0</v>
      </c>
      <c r="L72" t="str">
        <f t="shared" si="11"/>
        <v>Paid</v>
      </c>
      <c r="M72">
        <f t="shared" ca="1" si="12"/>
        <v>3</v>
      </c>
      <c r="N72" t="str">
        <f t="shared" ca="1" si="13"/>
        <v>1-30 Days</v>
      </c>
      <c r="O72" t="str">
        <f t="shared" si="14"/>
        <v>Low</v>
      </c>
      <c r="P72" t="str">
        <f t="shared" ca="1" si="15"/>
        <v>Low</v>
      </c>
      <c r="Q72" s="5">
        <f t="shared" si="16"/>
        <v>31</v>
      </c>
      <c r="R72" t="str">
        <f t="shared" si="17"/>
        <v>2026-03</v>
      </c>
      <c r="S72">
        <f t="shared" ca="1" si="18"/>
        <v>1</v>
      </c>
      <c r="T72" t="str">
        <f t="shared" ca="1" si="19"/>
        <v>Overdue</v>
      </c>
    </row>
    <row r="73" spans="1:20" x14ac:dyDescent="0.3">
      <c r="A73" s="7" t="s">
        <v>115</v>
      </c>
      <c r="B73" s="7" t="s">
        <v>25</v>
      </c>
      <c r="C73" s="7" t="s">
        <v>26</v>
      </c>
      <c r="D73" s="7" t="s">
        <v>17</v>
      </c>
      <c r="E73" s="7" t="s">
        <v>18</v>
      </c>
      <c r="F73" s="8">
        <v>46085</v>
      </c>
      <c r="G73" s="8">
        <v>46116</v>
      </c>
      <c r="H73" s="8">
        <v>46116</v>
      </c>
      <c r="I73" s="11">
        <v>5000</v>
      </c>
      <c r="J73" s="11">
        <v>5000</v>
      </c>
      <c r="K73" s="12">
        <f t="shared" si="10"/>
        <v>0</v>
      </c>
      <c r="L73" t="str">
        <f t="shared" si="11"/>
        <v>Paid</v>
      </c>
      <c r="M73">
        <f t="shared" ca="1" si="12"/>
        <v>0</v>
      </c>
      <c r="N73" t="str">
        <f t="shared" ca="1" si="13"/>
        <v>Current</v>
      </c>
      <c r="O73" t="str">
        <f t="shared" si="14"/>
        <v>Low</v>
      </c>
      <c r="P73" t="str">
        <f t="shared" ca="1" si="15"/>
        <v>Low</v>
      </c>
      <c r="Q73" s="5">
        <f t="shared" si="16"/>
        <v>31</v>
      </c>
      <c r="R73" t="str">
        <f t="shared" si="17"/>
        <v>2026-03</v>
      </c>
      <c r="S73">
        <f t="shared" ca="1" si="18"/>
        <v>0</v>
      </c>
      <c r="T73" t="str">
        <f t="shared" ca="1" si="19"/>
        <v>Not Overdue</v>
      </c>
    </row>
    <row r="74" spans="1:20" x14ac:dyDescent="0.3">
      <c r="A74" s="7" t="s">
        <v>116</v>
      </c>
      <c r="B74" s="7" t="s">
        <v>28</v>
      </c>
      <c r="C74" s="7" t="s">
        <v>29</v>
      </c>
      <c r="D74" s="7" t="s">
        <v>30</v>
      </c>
      <c r="E74" s="7" t="s">
        <v>31</v>
      </c>
      <c r="F74" s="8">
        <v>46087</v>
      </c>
      <c r="G74" s="8">
        <v>46118</v>
      </c>
      <c r="H74" s="8">
        <v>46132</v>
      </c>
      <c r="I74" s="11">
        <v>2000</v>
      </c>
      <c r="J74" s="11">
        <v>2000</v>
      </c>
      <c r="K74" s="12">
        <f t="shared" si="10"/>
        <v>0</v>
      </c>
      <c r="L74" t="str">
        <f t="shared" si="11"/>
        <v>Paid</v>
      </c>
      <c r="M74">
        <f t="shared" ca="1" si="12"/>
        <v>14</v>
      </c>
      <c r="N74" t="str">
        <f t="shared" ca="1" si="13"/>
        <v>1-30 Days</v>
      </c>
      <c r="O74" t="str">
        <f t="shared" si="14"/>
        <v>Low</v>
      </c>
      <c r="P74" t="str">
        <f t="shared" ca="1" si="15"/>
        <v>Low</v>
      </c>
      <c r="Q74" s="5">
        <f t="shared" si="16"/>
        <v>31</v>
      </c>
      <c r="R74" t="str">
        <f t="shared" si="17"/>
        <v>2026-03</v>
      </c>
      <c r="S74">
        <f t="shared" ca="1" si="18"/>
        <v>1</v>
      </c>
      <c r="T74" t="str">
        <f t="shared" ca="1" si="19"/>
        <v>Overdue</v>
      </c>
    </row>
    <row r="75" spans="1:20" x14ac:dyDescent="0.3">
      <c r="A75" s="7" t="s">
        <v>117</v>
      </c>
      <c r="B75" s="7" t="s">
        <v>38</v>
      </c>
      <c r="C75" s="7" t="s">
        <v>39</v>
      </c>
      <c r="D75" s="7" t="s">
        <v>17</v>
      </c>
      <c r="E75" s="7" t="s">
        <v>31</v>
      </c>
      <c r="F75" s="8">
        <v>46090</v>
      </c>
      <c r="G75" s="8">
        <v>46121</v>
      </c>
      <c r="H75" s="7"/>
      <c r="I75" s="11">
        <v>2000</v>
      </c>
      <c r="J75" s="11">
        <v>0</v>
      </c>
      <c r="K75" s="12">
        <f t="shared" si="10"/>
        <v>2000</v>
      </c>
      <c r="L75" t="str">
        <f t="shared" ca="1" si="11"/>
        <v>Overdue</v>
      </c>
      <c r="M75">
        <f t="shared" ca="1" si="12"/>
        <v>37</v>
      </c>
      <c r="N75" t="str">
        <f t="shared" ca="1" si="13"/>
        <v>31-60 Days</v>
      </c>
      <c r="O75" t="str">
        <f t="shared" si="14"/>
        <v>Low</v>
      </c>
      <c r="P75" t="str">
        <f t="shared" ca="1" si="15"/>
        <v>Medium</v>
      </c>
      <c r="Q75" s="5">
        <f t="shared" si="16"/>
        <v>31</v>
      </c>
      <c r="R75" t="str">
        <f t="shared" si="17"/>
        <v>2026-03</v>
      </c>
      <c r="S75">
        <f t="shared" ca="1" si="18"/>
        <v>1</v>
      </c>
      <c r="T75" t="str">
        <f t="shared" ca="1" si="19"/>
        <v>Overdue</v>
      </c>
    </row>
    <row r="76" spans="1:20" x14ac:dyDescent="0.3">
      <c r="A76" s="7" t="s">
        <v>118</v>
      </c>
      <c r="B76" s="7" t="s">
        <v>33</v>
      </c>
      <c r="C76" s="7" t="s">
        <v>34</v>
      </c>
      <c r="D76" s="7" t="s">
        <v>35</v>
      </c>
      <c r="E76" s="7" t="s">
        <v>36</v>
      </c>
      <c r="F76" s="8">
        <v>46092</v>
      </c>
      <c r="G76" s="8">
        <v>46123</v>
      </c>
      <c r="H76" s="8">
        <v>46123</v>
      </c>
      <c r="I76" s="11">
        <v>12000</v>
      </c>
      <c r="J76" s="11">
        <v>12000</v>
      </c>
      <c r="K76" s="12">
        <f t="shared" si="10"/>
        <v>0</v>
      </c>
      <c r="L76" t="str">
        <f t="shared" si="11"/>
        <v>Paid</v>
      </c>
      <c r="M76">
        <f t="shared" ca="1" si="12"/>
        <v>0</v>
      </c>
      <c r="N76" t="str">
        <f t="shared" ca="1" si="13"/>
        <v>Current</v>
      </c>
      <c r="O76" t="str">
        <f t="shared" si="14"/>
        <v>Low</v>
      </c>
      <c r="P76" t="str">
        <f t="shared" ca="1" si="15"/>
        <v>Low</v>
      </c>
      <c r="Q76" s="5">
        <f t="shared" si="16"/>
        <v>31</v>
      </c>
      <c r="R76" t="str">
        <f t="shared" si="17"/>
        <v>2026-03</v>
      </c>
      <c r="S76">
        <f t="shared" ca="1" si="18"/>
        <v>0</v>
      </c>
      <c r="T76" t="str">
        <f t="shared" ca="1" si="19"/>
        <v>Not Overdue</v>
      </c>
    </row>
    <row r="77" spans="1:20" x14ac:dyDescent="0.3">
      <c r="A77" s="7" t="s">
        <v>119</v>
      </c>
      <c r="B77" s="7" t="s">
        <v>51</v>
      </c>
      <c r="C77" s="7" t="s">
        <v>41</v>
      </c>
      <c r="D77" s="7" t="s">
        <v>17</v>
      </c>
      <c r="E77" s="7" t="s">
        <v>18</v>
      </c>
      <c r="F77" s="8">
        <v>46095</v>
      </c>
      <c r="G77" s="8">
        <v>46126</v>
      </c>
      <c r="H77" s="8">
        <v>46130</v>
      </c>
      <c r="I77" s="11">
        <v>2000</v>
      </c>
      <c r="J77" s="11">
        <v>2000</v>
      </c>
      <c r="K77" s="12">
        <f t="shared" si="10"/>
        <v>0</v>
      </c>
      <c r="L77" t="str">
        <f t="shared" si="11"/>
        <v>Paid</v>
      </c>
      <c r="M77">
        <f t="shared" ca="1" si="12"/>
        <v>4</v>
      </c>
      <c r="N77" t="str">
        <f t="shared" ca="1" si="13"/>
        <v>1-30 Days</v>
      </c>
      <c r="O77" t="str">
        <f t="shared" si="14"/>
        <v>Low</v>
      </c>
      <c r="P77" t="str">
        <f t="shared" ca="1" si="15"/>
        <v>Low</v>
      </c>
      <c r="Q77" s="5">
        <f t="shared" si="16"/>
        <v>31</v>
      </c>
      <c r="R77" t="str">
        <f t="shared" si="17"/>
        <v>2026-03</v>
      </c>
      <c r="S77">
        <f t="shared" ca="1" si="18"/>
        <v>1</v>
      </c>
      <c r="T77" t="str">
        <f t="shared" ca="1" si="19"/>
        <v>Overdue</v>
      </c>
    </row>
    <row r="78" spans="1:20" x14ac:dyDescent="0.3">
      <c r="A78" s="7" t="s">
        <v>120</v>
      </c>
      <c r="B78" s="7" t="s">
        <v>20</v>
      </c>
      <c r="C78" s="7" t="s">
        <v>21</v>
      </c>
      <c r="D78" s="7" t="s">
        <v>22</v>
      </c>
      <c r="E78" s="7" t="s">
        <v>23</v>
      </c>
      <c r="F78" s="8">
        <v>46097</v>
      </c>
      <c r="G78" s="8">
        <v>46127</v>
      </c>
      <c r="H78" s="7"/>
      <c r="I78" s="11">
        <v>5000</v>
      </c>
      <c r="J78" s="11">
        <v>0</v>
      </c>
      <c r="K78" s="12">
        <f t="shared" si="10"/>
        <v>5000</v>
      </c>
      <c r="L78" t="str">
        <f t="shared" ca="1" si="11"/>
        <v>Overdue</v>
      </c>
      <c r="M78">
        <f t="shared" ca="1" si="12"/>
        <v>31</v>
      </c>
      <c r="N78" t="str">
        <f t="shared" ca="1" si="13"/>
        <v>31-60 Days</v>
      </c>
      <c r="O78" t="str">
        <f t="shared" si="14"/>
        <v>Medium</v>
      </c>
      <c r="P78" t="str">
        <f t="shared" ca="1" si="15"/>
        <v>Medium</v>
      </c>
      <c r="Q78" s="5">
        <f t="shared" si="16"/>
        <v>30</v>
      </c>
      <c r="R78" t="str">
        <f t="shared" si="17"/>
        <v>2026-03</v>
      </c>
      <c r="S78">
        <f t="shared" ca="1" si="18"/>
        <v>1</v>
      </c>
      <c r="T78" t="str">
        <f t="shared" ca="1" si="19"/>
        <v>Overdue</v>
      </c>
    </row>
    <row r="79" spans="1:20" x14ac:dyDescent="0.3">
      <c r="A79" s="7" t="s">
        <v>121</v>
      </c>
      <c r="B79" s="7" t="s">
        <v>52</v>
      </c>
      <c r="C79" s="7" t="s">
        <v>21</v>
      </c>
      <c r="D79" s="7" t="s">
        <v>30</v>
      </c>
      <c r="E79" s="7" t="s">
        <v>31</v>
      </c>
      <c r="F79" s="8">
        <v>46100</v>
      </c>
      <c r="G79" s="8">
        <v>46130</v>
      </c>
      <c r="H79" s="8">
        <v>46130</v>
      </c>
      <c r="I79" s="11">
        <v>25000</v>
      </c>
      <c r="J79" s="11">
        <v>25000</v>
      </c>
      <c r="K79" s="12">
        <f t="shared" si="10"/>
        <v>0</v>
      </c>
      <c r="L79" t="str">
        <f t="shared" si="11"/>
        <v>Paid</v>
      </c>
      <c r="M79">
        <f t="shared" ca="1" si="12"/>
        <v>0</v>
      </c>
      <c r="N79" t="str">
        <f t="shared" ca="1" si="13"/>
        <v>Current</v>
      </c>
      <c r="O79" t="str">
        <f t="shared" si="14"/>
        <v>Low</v>
      </c>
      <c r="P79" t="str">
        <f t="shared" ca="1" si="15"/>
        <v>Low</v>
      </c>
      <c r="Q79" s="5">
        <f t="shared" si="16"/>
        <v>30</v>
      </c>
      <c r="R79" t="str">
        <f t="shared" si="17"/>
        <v>2026-03</v>
      </c>
      <c r="S79">
        <f t="shared" ca="1" si="18"/>
        <v>0</v>
      </c>
      <c r="T79" t="str">
        <f t="shared" ca="1" si="19"/>
        <v>Not Overdue</v>
      </c>
    </row>
    <row r="80" spans="1:20" x14ac:dyDescent="0.3">
      <c r="A80" s="7" t="s">
        <v>122</v>
      </c>
      <c r="B80" s="7" t="s">
        <v>53</v>
      </c>
      <c r="C80" s="7" t="s">
        <v>26</v>
      </c>
      <c r="D80" s="7" t="s">
        <v>35</v>
      </c>
      <c r="E80" s="7" t="s">
        <v>36</v>
      </c>
      <c r="F80" s="8">
        <v>46102</v>
      </c>
      <c r="G80" s="8">
        <v>46132</v>
      </c>
      <c r="H80" s="7"/>
      <c r="I80" s="11">
        <v>12000</v>
      </c>
      <c r="J80" s="11">
        <v>0</v>
      </c>
      <c r="K80" s="12">
        <f t="shared" si="10"/>
        <v>12000</v>
      </c>
      <c r="L80" t="str">
        <f t="shared" ca="1" si="11"/>
        <v>Overdue</v>
      </c>
      <c r="M80">
        <f t="shared" ca="1" si="12"/>
        <v>26</v>
      </c>
      <c r="N80" t="str">
        <f t="shared" ca="1" si="13"/>
        <v>1-30 Days</v>
      </c>
      <c r="O80" t="str">
        <f t="shared" si="14"/>
        <v>Medium</v>
      </c>
      <c r="P80" t="str">
        <f t="shared" ca="1" si="15"/>
        <v>Low</v>
      </c>
      <c r="Q80" s="5">
        <f t="shared" si="16"/>
        <v>30</v>
      </c>
      <c r="R80" t="str">
        <f t="shared" si="17"/>
        <v>2026-03</v>
      </c>
      <c r="S80">
        <f t="shared" ca="1" si="18"/>
        <v>1</v>
      </c>
      <c r="T80" t="str">
        <f t="shared" ca="1" si="19"/>
        <v>Overdue</v>
      </c>
    </row>
    <row r="81" spans="1:20" x14ac:dyDescent="0.3">
      <c r="A81" s="7" t="s">
        <v>123</v>
      </c>
      <c r="B81" s="7" t="s">
        <v>15</v>
      </c>
      <c r="C81" s="7" t="s">
        <v>16</v>
      </c>
      <c r="D81" s="7" t="s">
        <v>17</v>
      </c>
      <c r="E81" s="7" t="s">
        <v>18</v>
      </c>
      <c r="F81" s="8">
        <v>46105</v>
      </c>
      <c r="G81" s="8">
        <v>46135</v>
      </c>
      <c r="H81" s="8">
        <v>46135</v>
      </c>
      <c r="I81" s="11">
        <v>2000</v>
      </c>
      <c r="J81" s="11">
        <v>2000</v>
      </c>
      <c r="K81" s="12">
        <f t="shared" si="10"/>
        <v>0</v>
      </c>
      <c r="L81" t="str">
        <f t="shared" si="11"/>
        <v>Paid</v>
      </c>
      <c r="M81">
        <f t="shared" ca="1" si="12"/>
        <v>0</v>
      </c>
      <c r="N81" t="str">
        <f t="shared" ca="1" si="13"/>
        <v>Current</v>
      </c>
      <c r="O81" t="str">
        <f t="shared" si="14"/>
        <v>Low</v>
      </c>
      <c r="P81" t="str">
        <f t="shared" ca="1" si="15"/>
        <v>Low</v>
      </c>
      <c r="Q81" s="5">
        <f t="shared" si="16"/>
        <v>30</v>
      </c>
      <c r="R81" t="str">
        <f t="shared" si="17"/>
        <v>2026-03</v>
      </c>
      <c r="S81">
        <f t="shared" ca="1" si="18"/>
        <v>0</v>
      </c>
      <c r="T81" t="str">
        <f t="shared" ca="1" si="19"/>
        <v>Not Overdue</v>
      </c>
    </row>
    <row r="82" spans="1:20" x14ac:dyDescent="0.3">
      <c r="A82" s="7" t="s">
        <v>124</v>
      </c>
      <c r="B82" s="7" t="s">
        <v>25</v>
      </c>
      <c r="C82" s="7" t="s">
        <v>26</v>
      </c>
      <c r="D82" s="7" t="s">
        <v>17</v>
      </c>
      <c r="E82" s="7" t="s">
        <v>18</v>
      </c>
      <c r="F82" s="8">
        <v>46107</v>
      </c>
      <c r="G82" s="8">
        <v>46137</v>
      </c>
      <c r="H82" s="8">
        <v>46137</v>
      </c>
      <c r="I82" s="11">
        <v>25000</v>
      </c>
      <c r="J82" s="11">
        <v>25000</v>
      </c>
      <c r="K82" s="12">
        <f t="shared" si="10"/>
        <v>0</v>
      </c>
      <c r="L82" t="str">
        <f t="shared" si="11"/>
        <v>Paid</v>
      </c>
      <c r="M82">
        <f t="shared" ca="1" si="12"/>
        <v>0</v>
      </c>
      <c r="N82" t="str">
        <f t="shared" ca="1" si="13"/>
        <v>Current</v>
      </c>
      <c r="O82" t="str">
        <f t="shared" si="14"/>
        <v>Low</v>
      </c>
      <c r="P82" t="str">
        <f t="shared" ca="1" si="15"/>
        <v>Low</v>
      </c>
      <c r="Q82" s="5">
        <f t="shared" si="16"/>
        <v>30</v>
      </c>
      <c r="R82" t="str">
        <f t="shared" si="17"/>
        <v>2026-03</v>
      </c>
      <c r="S82">
        <f t="shared" ca="1" si="18"/>
        <v>0</v>
      </c>
      <c r="T82" t="str">
        <f t="shared" ca="1" si="19"/>
        <v>Not Overdue</v>
      </c>
    </row>
    <row r="83" spans="1:20" x14ac:dyDescent="0.3">
      <c r="A83" s="7" t="s">
        <v>125</v>
      </c>
      <c r="B83" s="7" t="s">
        <v>38</v>
      </c>
      <c r="C83" s="7" t="s">
        <v>39</v>
      </c>
      <c r="D83" s="7" t="s">
        <v>17</v>
      </c>
      <c r="E83" s="7" t="s">
        <v>31</v>
      </c>
      <c r="F83" s="8">
        <v>46110</v>
      </c>
      <c r="G83" s="8">
        <v>46140</v>
      </c>
      <c r="H83" s="7"/>
      <c r="I83" s="11">
        <v>12000</v>
      </c>
      <c r="J83" s="11">
        <v>0</v>
      </c>
      <c r="K83" s="12">
        <f t="shared" si="10"/>
        <v>12000</v>
      </c>
      <c r="L83" t="str">
        <f t="shared" ca="1" si="11"/>
        <v>Overdue</v>
      </c>
      <c r="M83">
        <f t="shared" ca="1" si="12"/>
        <v>18</v>
      </c>
      <c r="N83" t="str">
        <f t="shared" ca="1" si="13"/>
        <v>1-30 Days</v>
      </c>
      <c r="O83" t="str">
        <f t="shared" si="14"/>
        <v>Medium</v>
      </c>
      <c r="P83" t="str">
        <f t="shared" ca="1" si="15"/>
        <v>Low</v>
      </c>
      <c r="Q83" s="5">
        <f t="shared" si="16"/>
        <v>30</v>
      </c>
      <c r="R83" t="str">
        <f t="shared" si="17"/>
        <v>2026-03</v>
      </c>
      <c r="S83">
        <f t="shared" ca="1" si="18"/>
        <v>1</v>
      </c>
      <c r="T83" t="str">
        <f t="shared" ca="1" si="19"/>
        <v>Overdue</v>
      </c>
    </row>
    <row r="84" spans="1:20" x14ac:dyDescent="0.3">
      <c r="A84" s="7" t="s">
        <v>126</v>
      </c>
      <c r="B84" s="7" t="s">
        <v>28</v>
      </c>
      <c r="C84" s="7" t="s">
        <v>29</v>
      </c>
      <c r="D84" s="7" t="s">
        <v>30</v>
      </c>
      <c r="E84" s="7" t="s">
        <v>31</v>
      </c>
      <c r="F84" s="8">
        <v>46113</v>
      </c>
      <c r="G84" s="8">
        <v>46143</v>
      </c>
      <c r="H84" s="7"/>
      <c r="I84" s="11">
        <v>5000</v>
      </c>
      <c r="J84" s="11">
        <v>0</v>
      </c>
      <c r="K84" s="12">
        <f t="shared" si="10"/>
        <v>5000</v>
      </c>
      <c r="L84" t="str">
        <f t="shared" ca="1" si="11"/>
        <v>Overdue</v>
      </c>
      <c r="M84">
        <f t="shared" ca="1" si="12"/>
        <v>15</v>
      </c>
      <c r="N84" t="str">
        <f t="shared" ca="1" si="13"/>
        <v>1-30 Days</v>
      </c>
      <c r="O84" t="str">
        <f t="shared" si="14"/>
        <v>Medium</v>
      </c>
      <c r="P84" t="str">
        <f t="shared" ca="1" si="15"/>
        <v>Low</v>
      </c>
      <c r="Q84" s="5">
        <f t="shared" si="16"/>
        <v>30</v>
      </c>
      <c r="R84" t="str">
        <f t="shared" si="17"/>
        <v>2026-04</v>
      </c>
      <c r="S84">
        <f t="shared" ca="1" si="18"/>
        <v>1</v>
      </c>
      <c r="T84" t="str">
        <f t="shared" ca="1" si="19"/>
        <v>Overdue</v>
      </c>
    </row>
    <row r="85" spans="1:20" x14ac:dyDescent="0.3">
      <c r="A85" s="7" t="s">
        <v>127</v>
      </c>
      <c r="B85" s="7" t="s">
        <v>33</v>
      </c>
      <c r="C85" s="7" t="s">
        <v>34</v>
      </c>
      <c r="D85" s="7" t="s">
        <v>35</v>
      </c>
      <c r="E85" s="7" t="s">
        <v>36</v>
      </c>
      <c r="F85" s="8">
        <v>46115</v>
      </c>
      <c r="G85" s="8">
        <v>46145</v>
      </c>
      <c r="H85" s="8">
        <v>46145</v>
      </c>
      <c r="I85" s="11">
        <v>25000</v>
      </c>
      <c r="J85" s="11">
        <v>25000</v>
      </c>
      <c r="K85" s="12">
        <f t="shared" si="10"/>
        <v>0</v>
      </c>
      <c r="L85" t="str">
        <f t="shared" si="11"/>
        <v>Paid</v>
      </c>
      <c r="M85">
        <f t="shared" ca="1" si="12"/>
        <v>0</v>
      </c>
      <c r="N85" t="str">
        <f t="shared" ca="1" si="13"/>
        <v>Current</v>
      </c>
      <c r="O85" t="str">
        <f t="shared" si="14"/>
        <v>Low</v>
      </c>
      <c r="P85" t="str">
        <f t="shared" ca="1" si="15"/>
        <v>Low</v>
      </c>
      <c r="Q85" s="5">
        <f t="shared" si="16"/>
        <v>30</v>
      </c>
      <c r="R85" t="str">
        <f t="shared" si="17"/>
        <v>2026-04</v>
      </c>
      <c r="S85">
        <f t="shared" ca="1" si="18"/>
        <v>0</v>
      </c>
      <c r="T85" t="str">
        <f t="shared" ca="1" si="19"/>
        <v>Not Overdue</v>
      </c>
    </row>
    <row r="86" spans="1:20" x14ac:dyDescent="0.3">
      <c r="A86" s="7" t="s">
        <v>128</v>
      </c>
      <c r="B86" s="7" t="s">
        <v>51</v>
      </c>
      <c r="C86" s="7" t="s">
        <v>41</v>
      </c>
      <c r="D86" s="7" t="s">
        <v>17</v>
      </c>
      <c r="E86" s="7" t="s">
        <v>18</v>
      </c>
      <c r="F86" s="8">
        <v>46116</v>
      </c>
      <c r="G86" s="8">
        <v>46146</v>
      </c>
      <c r="H86" s="8">
        <v>46146</v>
      </c>
      <c r="I86" s="11">
        <v>12000</v>
      </c>
      <c r="J86" s="11">
        <v>12000</v>
      </c>
      <c r="K86" s="12">
        <f t="shared" si="10"/>
        <v>0</v>
      </c>
      <c r="L86" t="str">
        <f t="shared" si="11"/>
        <v>Paid</v>
      </c>
      <c r="M86">
        <f t="shared" ca="1" si="12"/>
        <v>0</v>
      </c>
      <c r="N86" t="str">
        <f t="shared" ca="1" si="13"/>
        <v>Current</v>
      </c>
      <c r="O86" t="str">
        <f t="shared" si="14"/>
        <v>Low</v>
      </c>
      <c r="P86" t="str">
        <f t="shared" ca="1" si="15"/>
        <v>Low</v>
      </c>
      <c r="Q86" s="5">
        <f t="shared" si="16"/>
        <v>30</v>
      </c>
      <c r="R86" t="str">
        <f t="shared" si="17"/>
        <v>2026-04</v>
      </c>
      <c r="S86">
        <f t="shared" ca="1" si="18"/>
        <v>0</v>
      </c>
      <c r="T86" t="str">
        <f t="shared" ca="1" si="19"/>
        <v>Not Overdue</v>
      </c>
    </row>
    <row r="87" spans="1:20" x14ac:dyDescent="0.3">
      <c r="A87" s="7" t="s">
        <v>129</v>
      </c>
      <c r="B87" s="7" t="s">
        <v>20</v>
      </c>
      <c r="C87" s="7" t="s">
        <v>21</v>
      </c>
      <c r="D87" s="7" t="s">
        <v>22</v>
      </c>
      <c r="E87" s="7" t="s">
        <v>23</v>
      </c>
      <c r="F87" s="8">
        <v>46118</v>
      </c>
      <c r="G87" s="8">
        <v>46148</v>
      </c>
      <c r="H87" s="7"/>
      <c r="I87" s="11">
        <v>12000</v>
      </c>
      <c r="J87" s="11">
        <v>0</v>
      </c>
      <c r="K87" s="12">
        <f t="shared" si="10"/>
        <v>12000</v>
      </c>
      <c r="L87" t="str">
        <f t="shared" ca="1" si="11"/>
        <v>Overdue</v>
      </c>
      <c r="M87">
        <f t="shared" ca="1" si="12"/>
        <v>10</v>
      </c>
      <c r="N87" t="str">
        <f t="shared" ca="1" si="13"/>
        <v>1-30 Days</v>
      </c>
      <c r="O87" t="str">
        <f t="shared" si="14"/>
        <v>Medium</v>
      </c>
      <c r="P87" t="str">
        <f t="shared" ca="1" si="15"/>
        <v>Low</v>
      </c>
      <c r="Q87" s="5">
        <f t="shared" si="16"/>
        <v>30</v>
      </c>
      <c r="R87" t="str">
        <f t="shared" si="17"/>
        <v>2026-04</v>
      </c>
      <c r="S87">
        <f t="shared" ca="1" si="18"/>
        <v>1</v>
      </c>
      <c r="T87" t="str">
        <f t="shared" ca="1" si="19"/>
        <v>Overdue</v>
      </c>
    </row>
    <row r="88" spans="1:20" x14ac:dyDescent="0.3">
      <c r="A88" s="7" t="s">
        <v>130</v>
      </c>
      <c r="B88" s="7" t="s">
        <v>52</v>
      </c>
      <c r="C88" s="7" t="s">
        <v>21</v>
      </c>
      <c r="D88" s="7" t="s">
        <v>30</v>
      </c>
      <c r="E88" s="7" t="s">
        <v>31</v>
      </c>
      <c r="F88" s="8">
        <v>46121</v>
      </c>
      <c r="G88" s="8">
        <v>46151</v>
      </c>
      <c r="H88" s="7"/>
      <c r="I88" s="11">
        <v>2000</v>
      </c>
      <c r="J88" s="11">
        <v>0</v>
      </c>
      <c r="K88" s="12">
        <f t="shared" si="10"/>
        <v>2000</v>
      </c>
      <c r="L88" t="str">
        <f t="shared" ca="1" si="11"/>
        <v>Overdue</v>
      </c>
      <c r="M88">
        <f t="shared" ca="1" si="12"/>
        <v>7</v>
      </c>
      <c r="N88" t="str">
        <f t="shared" ca="1" si="13"/>
        <v>1-30 Days</v>
      </c>
      <c r="O88" t="str">
        <f t="shared" si="14"/>
        <v>Low</v>
      </c>
      <c r="P88" t="str">
        <f t="shared" ca="1" si="15"/>
        <v>Low</v>
      </c>
      <c r="Q88" s="5">
        <f t="shared" si="16"/>
        <v>30</v>
      </c>
      <c r="R88" t="str">
        <f t="shared" si="17"/>
        <v>2026-04</v>
      </c>
      <c r="S88">
        <f t="shared" ca="1" si="18"/>
        <v>1</v>
      </c>
      <c r="T88" t="str">
        <f t="shared" ca="1" si="19"/>
        <v>Overdue</v>
      </c>
    </row>
    <row r="89" spans="1:20" x14ac:dyDescent="0.3">
      <c r="A89" s="7" t="s">
        <v>131</v>
      </c>
      <c r="B89" s="7" t="s">
        <v>53</v>
      </c>
      <c r="C89" s="7" t="s">
        <v>26</v>
      </c>
      <c r="D89" s="7" t="s">
        <v>35</v>
      </c>
      <c r="E89" s="7" t="s">
        <v>36</v>
      </c>
      <c r="F89" s="8">
        <v>46123</v>
      </c>
      <c r="G89" s="8">
        <v>46153</v>
      </c>
      <c r="H89" s="8">
        <v>46153</v>
      </c>
      <c r="I89" s="11">
        <v>5000</v>
      </c>
      <c r="J89" s="11">
        <v>5000</v>
      </c>
      <c r="K89" s="12">
        <f t="shared" si="10"/>
        <v>0</v>
      </c>
      <c r="L89" t="str">
        <f t="shared" si="11"/>
        <v>Paid</v>
      </c>
      <c r="M89">
        <f t="shared" ca="1" si="12"/>
        <v>0</v>
      </c>
      <c r="N89" t="str">
        <f t="shared" ca="1" si="13"/>
        <v>Current</v>
      </c>
      <c r="O89" t="str">
        <f t="shared" si="14"/>
        <v>Low</v>
      </c>
      <c r="P89" t="str">
        <f t="shared" ca="1" si="15"/>
        <v>Low</v>
      </c>
      <c r="Q89" s="5">
        <f t="shared" si="16"/>
        <v>30</v>
      </c>
      <c r="R89" t="str">
        <f t="shared" si="17"/>
        <v>2026-04</v>
      </c>
      <c r="S89">
        <f t="shared" ca="1" si="18"/>
        <v>0</v>
      </c>
      <c r="T89" t="str">
        <f t="shared" ca="1" si="19"/>
        <v>Not Overdue</v>
      </c>
    </row>
    <row r="90" spans="1:20" x14ac:dyDescent="0.3">
      <c r="A90" s="7" t="s">
        <v>132</v>
      </c>
      <c r="B90" s="7" t="s">
        <v>15</v>
      </c>
      <c r="C90" s="7" t="s">
        <v>16</v>
      </c>
      <c r="D90" s="7" t="s">
        <v>17</v>
      </c>
      <c r="E90" s="7" t="s">
        <v>18</v>
      </c>
      <c r="F90" s="8">
        <v>46124</v>
      </c>
      <c r="G90" s="8">
        <v>46154</v>
      </c>
      <c r="H90" s="7"/>
      <c r="I90" s="11">
        <v>12000</v>
      </c>
      <c r="J90" s="11">
        <v>0</v>
      </c>
      <c r="K90" s="12">
        <f t="shared" si="10"/>
        <v>12000</v>
      </c>
      <c r="L90" t="str">
        <f t="shared" ca="1" si="11"/>
        <v>Overdue</v>
      </c>
      <c r="M90">
        <f t="shared" ca="1" si="12"/>
        <v>4</v>
      </c>
      <c r="N90" t="str">
        <f t="shared" ca="1" si="13"/>
        <v>1-30 Days</v>
      </c>
      <c r="O90" t="str">
        <f t="shared" si="14"/>
        <v>Medium</v>
      </c>
      <c r="P90" t="str">
        <f t="shared" ca="1" si="15"/>
        <v>Low</v>
      </c>
      <c r="Q90" s="5">
        <f t="shared" si="16"/>
        <v>30</v>
      </c>
      <c r="R90" t="str">
        <f t="shared" si="17"/>
        <v>2026-04</v>
      </c>
      <c r="S90">
        <f t="shared" ca="1" si="18"/>
        <v>1</v>
      </c>
      <c r="T90" t="str">
        <f t="shared" ca="1" si="19"/>
        <v>Overdue</v>
      </c>
    </row>
    <row r="91" spans="1:20" x14ac:dyDescent="0.3">
      <c r="A91" s="7" t="s">
        <v>133</v>
      </c>
      <c r="B91" s="7" t="s">
        <v>25</v>
      </c>
      <c r="C91" s="7" t="s">
        <v>26</v>
      </c>
      <c r="D91" s="7" t="s">
        <v>17</v>
      </c>
      <c r="E91" s="7" t="s">
        <v>18</v>
      </c>
      <c r="F91" s="8">
        <v>46126</v>
      </c>
      <c r="G91" s="8">
        <v>46156</v>
      </c>
      <c r="H91" s="8">
        <v>46156</v>
      </c>
      <c r="I91" s="11">
        <v>2000</v>
      </c>
      <c r="J91" s="11">
        <v>2000</v>
      </c>
      <c r="K91" s="12">
        <f t="shared" si="10"/>
        <v>0</v>
      </c>
      <c r="L91" t="str">
        <f t="shared" si="11"/>
        <v>Paid</v>
      </c>
      <c r="M91">
        <f t="shared" ca="1" si="12"/>
        <v>0</v>
      </c>
      <c r="N91" t="str">
        <f t="shared" ca="1" si="13"/>
        <v>Current</v>
      </c>
      <c r="O91" t="str">
        <f t="shared" si="14"/>
        <v>Low</v>
      </c>
      <c r="P91" t="str">
        <f t="shared" ca="1" si="15"/>
        <v>Low</v>
      </c>
      <c r="Q91" s="5">
        <f t="shared" si="16"/>
        <v>30</v>
      </c>
      <c r="R91" t="str">
        <f t="shared" si="17"/>
        <v>2026-04</v>
      </c>
      <c r="S91">
        <f t="shared" ca="1" si="18"/>
        <v>0</v>
      </c>
      <c r="T91" t="str">
        <f t="shared" ca="1" si="19"/>
        <v>Not Overdue</v>
      </c>
    </row>
    <row r="92" spans="1:20" x14ac:dyDescent="0.3">
      <c r="A92" s="7" t="s">
        <v>134</v>
      </c>
      <c r="B92" s="7" t="s">
        <v>38</v>
      </c>
      <c r="C92" s="7" t="s">
        <v>39</v>
      </c>
      <c r="D92" s="7" t="s">
        <v>17</v>
      </c>
      <c r="E92" s="7" t="s">
        <v>31</v>
      </c>
      <c r="F92" s="8">
        <v>46128</v>
      </c>
      <c r="G92" s="8">
        <v>46158</v>
      </c>
      <c r="H92" s="7"/>
      <c r="I92" s="11">
        <v>25000</v>
      </c>
      <c r="J92" s="11">
        <v>0</v>
      </c>
      <c r="K92" s="12">
        <f t="shared" si="10"/>
        <v>25000</v>
      </c>
      <c r="L92" t="str">
        <f t="shared" ca="1" si="11"/>
        <v>Open</v>
      </c>
      <c r="M92">
        <f t="shared" ca="1" si="12"/>
        <v>0</v>
      </c>
      <c r="N92" t="str">
        <f t="shared" ca="1" si="13"/>
        <v>Current</v>
      </c>
      <c r="O92" t="str">
        <f t="shared" si="14"/>
        <v>High</v>
      </c>
      <c r="P92" t="str">
        <f t="shared" ca="1" si="15"/>
        <v>High</v>
      </c>
      <c r="Q92" s="5">
        <f t="shared" si="16"/>
        <v>30</v>
      </c>
      <c r="R92" t="str">
        <f t="shared" si="17"/>
        <v>2026-04</v>
      </c>
      <c r="S92">
        <f t="shared" ca="1" si="18"/>
        <v>0</v>
      </c>
      <c r="T92" t="str">
        <f t="shared" ca="1" si="19"/>
        <v>Not Overdue</v>
      </c>
    </row>
    <row r="93" spans="1:20" x14ac:dyDescent="0.3">
      <c r="A93" s="7" t="s">
        <v>135</v>
      </c>
      <c r="B93" s="7" t="s">
        <v>28</v>
      </c>
      <c r="C93" s="7" t="s">
        <v>29</v>
      </c>
      <c r="D93" s="7" t="s">
        <v>30</v>
      </c>
      <c r="E93" s="7" t="s">
        <v>31</v>
      </c>
      <c r="F93" s="8">
        <v>46130</v>
      </c>
      <c r="G93" s="8">
        <v>46160</v>
      </c>
      <c r="H93" s="7"/>
      <c r="I93" s="11">
        <v>2000</v>
      </c>
      <c r="J93" s="11">
        <v>0</v>
      </c>
      <c r="K93" s="12">
        <f t="shared" si="10"/>
        <v>2000</v>
      </c>
      <c r="L93" t="str">
        <f t="shared" ca="1" si="11"/>
        <v>Open</v>
      </c>
      <c r="M93">
        <f t="shared" ca="1" si="12"/>
        <v>0</v>
      </c>
      <c r="N93" t="str">
        <f t="shared" ca="1" si="13"/>
        <v>Current</v>
      </c>
      <c r="O93" t="str">
        <f t="shared" si="14"/>
        <v>Low</v>
      </c>
      <c r="P93" t="str">
        <f t="shared" ca="1" si="15"/>
        <v>Low</v>
      </c>
      <c r="Q93" s="5">
        <f t="shared" si="16"/>
        <v>30</v>
      </c>
      <c r="R93" t="str">
        <f t="shared" si="17"/>
        <v>2026-04</v>
      </c>
      <c r="S93">
        <f t="shared" ca="1" si="18"/>
        <v>0</v>
      </c>
      <c r="T93" t="str">
        <f t="shared" ca="1" si="19"/>
        <v>Not Overdue</v>
      </c>
    </row>
    <row r="94" spans="1:20" x14ac:dyDescent="0.3">
      <c r="A94" s="7" t="s">
        <v>136</v>
      </c>
      <c r="B94" s="7" t="s">
        <v>33</v>
      </c>
      <c r="C94" s="7" t="s">
        <v>34</v>
      </c>
      <c r="D94" s="7" t="s">
        <v>35</v>
      </c>
      <c r="E94" s="7" t="s">
        <v>36</v>
      </c>
      <c r="F94" s="8">
        <v>46132</v>
      </c>
      <c r="G94" s="8">
        <v>46162</v>
      </c>
      <c r="H94" s="8">
        <v>46162</v>
      </c>
      <c r="I94" s="11">
        <v>12000</v>
      </c>
      <c r="J94" s="11">
        <v>12000</v>
      </c>
      <c r="K94" s="12">
        <f t="shared" si="10"/>
        <v>0</v>
      </c>
      <c r="L94" t="str">
        <f t="shared" si="11"/>
        <v>Paid</v>
      </c>
      <c r="M94">
        <f t="shared" ca="1" si="12"/>
        <v>0</v>
      </c>
      <c r="N94" t="str">
        <f t="shared" ca="1" si="13"/>
        <v>Current</v>
      </c>
      <c r="O94" t="str">
        <f t="shared" si="14"/>
        <v>Low</v>
      </c>
      <c r="P94" t="str">
        <f t="shared" ca="1" si="15"/>
        <v>Low</v>
      </c>
      <c r="Q94" s="5">
        <f t="shared" si="16"/>
        <v>30</v>
      </c>
      <c r="R94" t="str">
        <f t="shared" si="17"/>
        <v>2026-04</v>
      </c>
      <c r="S94">
        <f t="shared" ca="1" si="18"/>
        <v>0</v>
      </c>
      <c r="T94" t="str">
        <f t="shared" ca="1" si="19"/>
        <v>Not Overdue</v>
      </c>
    </row>
    <row r="95" spans="1:20" x14ac:dyDescent="0.3">
      <c r="A95" s="7" t="s">
        <v>137</v>
      </c>
      <c r="B95" s="7" t="s">
        <v>51</v>
      </c>
      <c r="C95" s="7" t="s">
        <v>41</v>
      </c>
      <c r="D95" s="7" t="s">
        <v>17</v>
      </c>
      <c r="E95" s="7" t="s">
        <v>18</v>
      </c>
      <c r="F95" s="8">
        <v>46134</v>
      </c>
      <c r="G95" s="8">
        <v>46164</v>
      </c>
      <c r="H95" s="7"/>
      <c r="I95" s="11">
        <v>25000</v>
      </c>
      <c r="J95" s="11">
        <v>0</v>
      </c>
      <c r="K95" s="12">
        <f t="shared" si="10"/>
        <v>25000</v>
      </c>
      <c r="L95" t="str">
        <f t="shared" ca="1" si="11"/>
        <v>Open</v>
      </c>
      <c r="M95">
        <f t="shared" ca="1" si="12"/>
        <v>0</v>
      </c>
      <c r="N95" t="str">
        <f t="shared" ca="1" si="13"/>
        <v>Current</v>
      </c>
      <c r="O95" t="str">
        <f t="shared" si="14"/>
        <v>High</v>
      </c>
      <c r="P95" t="str">
        <f t="shared" ca="1" si="15"/>
        <v>High</v>
      </c>
      <c r="Q95" s="5">
        <f t="shared" si="16"/>
        <v>30</v>
      </c>
      <c r="R95" t="str">
        <f t="shared" si="17"/>
        <v>2026-04</v>
      </c>
      <c r="S95">
        <f t="shared" ca="1" si="18"/>
        <v>0</v>
      </c>
      <c r="T95" t="str">
        <f t="shared" ca="1" si="19"/>
        <v>Not Overdue</v>
      </c>
    </row>
    <row r="96" spans="1:20" x14ac:dyDescent="0.3">
      <c r="A96" s="7" t="s">
        <v>138</v>
      </c>
      <c r="B96" s="7" t="s">
        <v>20</v>
      </c>
      <c r="C96" s="7" t="s">
        <v>21</v>
      </c>
      <c r="D96" s="7" t="s">
        <v>22</v>
      </c>
      <c r="E96" s="7" t="s">
        <v>23</v>
      </c>
      <c r="F96" s="8">
        <v>46136</v>
      </c>
      <c r="G96" s="8">
        <v>46166</v>
      </c>
      <c r="H96" s="7"/>
      <c r="I96" s="11">
        <v>5000</v>
      </c>
      <c r="J96" s="11">
        <v>0</v>
      </c>
      <c r="K96" s="12">
        <f t="shared" si="10"/>
        <v>5000</v>
      </c>
      <c r="L96" t="str">
        <f t="shared" ca="1" si="11"/>
        <v>Open</v>
      </c>
      <c r="M96">
        <f t="shared" ca="1" si="12"/>
        <v>0</v>
      </c>
      <c r="N96" t="str">
        <f t="shared" ca="1" si="13"/>
        <v>Current</v>
      </c>
      <c r="O96" t="str">
        <f t="shared" si="14"/>
        <v>Medium</v>
      </c>
      <c r="P96" t="str">
        <f t="shared" ca="1" si="15"/>
        <v>Low</v>
      </c>
      <c r="Q96" s="5">
        <f t="shared" si="16"/>
        <v>30</v>
      </c>
      <c r="R96" t="str">
        <f t="shared" si="17"/>
        <v>2026-04</v>
      </c>
      <c r="S96">
        <f t="shared" ca="1" si="18"/>
        <v>0</v>
      </c>
      <c r="T96" t="str">
        <f t="shared" ca="1" si="19"/>
        <v>Not Overdue</v>
      </c>
    </row>
    <row r="97" spans="1:20" x14ac:dyDescent="0.3">
      <c r="A97" s="7" t="s">
        <v>139</v>
      </c>
      <c r="B97" s="7" t="s">
        <v>52</v>
      </c>
      <c r="C97" s="7" t="s">
        <v>21</v>
      </c>
      <c r="D97" s="7" t="s">
        <v>30</v>
      </c>
      <c r="E97" s="7" t="s">
        <v>31</v>
      </c>
      <c r="F97" s="8">
        <v>46138</v>
      </c>
      <c r="G97" s="8">
        <v>46168</v>
      </c>
      <c r="H97" s="7"/>
      <c r="I97" s="11">
        <v>12000</v>
      </c>
      <c r="J97" s="11">
        <v>0</v>
      </c>
      <c r="K97" s="12">
        <f t="shared" si="10"/>
        <v>12000</v>
      </c>
      <c r="L97" t="str">
        <f t="shared" ca="1" si="11"/>
        <v>Open</v>
      </c>
      <c r="M97">
        <f t="shared" ca="1" si="12"/>
        <v>0</v>
      </c>
      <c r="N97" t="str">
        <f t="shared" ca="1" si="13"/>
        <v>Current</v>
      </c>
      <c r="O97" t="str">
        <f t="shared" si="14"/>
        <v>Medium</v>
      </c>
      <c r="P97" t="str">
        <f t="shared" ca="1" si="15"/>
        <v>Low</v>
      </c>
      <c r="Q97" s="5">
        <f t="shared" si="16"/>
        <v>30</v>
      </c>
      <c r="R97" t="str">
        <f t="shared" si="17"/>
        <v>2026-04</v>
      </c>
      <c r="S97">
        <f t="shared" ca="1" si="18"/>
        <v>0</v>
      </c>
      <c r="T97" t="str">
        <f t="shared" ca="1" si="19"/>
        <v>Not Overdue</v>
      </c>
    </row>
    <row r="98" spans="1:20" x14ac:dyDescent="0.3">
      <c r="A98" s="7" t="s">
        <v>140</v>
      </c>
      <c r="B98" s="7" t="s">
        <v>53</v>
      </c>
      <c r="C98" s="7" t="s">
        <v>26</v>
      </c>
      <c r="D98" s="7" t="s">
        <v>35</v>
      </c>
      <c r="E98" s="7" t="s">
        <v>36</v>
      </c>
      <c r="F98" s="8">
        <v>46140</v>
      </c>
      <c r="G98" s="8">
        <v>46170</v>
      </c>
      <c r="H98" s="7"/>
      <c r="I98" s="11">
        <v>2000</v>
      </c>
      <c r="J98" s="11">
        <v>0</v>
      </c>
      <c r="K98" s="12">
        <f t="shared" si="10"/>
        <v>2000</v>
      </c>
      <c r="L98" t="str">
        <f t="shared" ca="1" si="11"/>
        <v>Open</v>
      </c>
      <c r="M98">
        <f t="shared" ca="1" si="12"/>
        <v>0</v>
      </c>
      <c r="N98" t="str">
        <f t="shared" ca="1" si="13"/>
        <v>Current</v>
      </c>
      <c r="O98" t="str">
        <f t="shared" si="14"/>
        <v>Low</v>
      </c>
      <c r="P98" t="str">
        <f t="shared" ca="1" si="15"/>
        <v>Low</v>
      </c>
      <c r="Q98" s="5">
        <f t="shared" si="16"/>
        <v>30</v>
      </c>
      <c r="R98" t="str">
        <f t="shared" si="17"/>
        <v>2026-04</v>
      </c>
      <c r="S98">
        <f t="shared" ca="1" si="18"/>
        <v>0</v>
      </c>
      <c r="T98" t="str">
        <f t="shared" ca="1" si="19"/>
        <v>Not Overdue</v>
      </c>
    </row>
    <row r="99" spans="1:20" x14ac:dyDescent="0.3">
      <c r="A99" s="7" t="s">
        <v>141</v>
      </c>
      <c r="B99" s="7" t="s">
        <v>15</v>
      </c>
      <c r="C99" s="7" t="s">
        <v>16</v>
      </c>
      <c r="D99" s="7" t="s">
        <v>17</v>
      </c>
      <c r="E99" s="7" t="s">
        <v>18</v>
      </c>
      <c r="F99" s="8">
        <v>46141</v>
      </c>
      <c r="G99" s="8">
        <v>46171</v>
      </c>
      <c r="H99" s="7"/>
      <c r="I99" s="11">
        <v>5000</v>
      </c>
      <c r="J99" s="11">
        <v>0</v>
      </c>
      <c r="K99" s="12">
        <f t="shared" si="10"/>
        <v>5000</v>
      </c>
      <c r="L99" t="str">
        <f t="shared" ca="1" si="11"/>
        <v>Open</v>
      </c>
      <c r="M99">
        <f t="shared" ca="1" si="12"/>
        <v>0</v>
      </c>
      <c r="N99" t="str">
        <f t="shared" ca="1" si="13"/>
        <v>Current</v>
      </c>
      <c r="O99" t="str">
        <f t="shared" si="14"/>
        <v>Medium</v>
      </c>
      <c r="P99" t="str">
        <f t="shared" ca="1" si="15"/>
        <v>Low</v>
      </c>
      <c r="Q99" s="5">
        <f t="shared" si="16"/>
        <v>30</v>
      </c>
      <c r="R99" t="str">
        <f t="shared" si="17"/>
        <v>2026-04</v>
      </c>
      <c r="S99">
        <f t="shared" ca="1" si="18"/>
        <v>0</v>
      </c>
      <c r="T99" t="str">
        <f t="shared" ca="1" si="19"/>
        <v>Not Overdue</v>
      </c>
    </row>
    <row r="100" spans="1:20" x14ac:dyDescent="0.3">
      <c r="A100" s="7" t="s">
        <v>142</v>
      </c>
      <c r="B100" s="7" t="s">
        <v>25</v>
      </c>
      <c r="C100" s="7" t="s">
        <v>26</v>
      </c>
      <c r="D100" s="7" t="s">
        <v>17</v>
      </c>
      <c r="E100" s="7" t="s">
        <v>18</v>
      </c>
      <c r="F100" s="8">
        <v>46142</v>
      </c>
      <c r="G100" s="8">
        <v>46172</v>
      </c>
      <c r="H100" s="7"/>
      <c r="I100" s="11">
        <v>12000</v>
      </c>
      <c r="J100" s="11">
        <v>0</v>
      </c>
      <c r="K100" s="12">
        <f t="shared" si="10"/>
        <v>12000</v>
      </c>
      <c r="L100" t="str">
        <f t="shared" ca="1" si="11"/>
        <v>Open</v>
      </c>
      <c r="M100">
        <f t="shared" ca="1" si="12"/>
        <v>0</v>
      </c>
      <c r="N100" t="str">
        <f t="shared" ca="1" si="13"/>
        <v>Current</v>
      </c>
      <c r="O100" t="str">
        <f t="shared" si="14"/>
        <v>Medium</v>
      </c>
      <c r="P100" t="str">
        <f t="shared" ca="1" si="15"/>
        <v>Low</v>
      </c>
      <c r="Q100" s="5">
        <f t="shared" si="16"/>
        <v>30</v>
      </c>
      <c r="R100" t="str">
        <f t="shared" si="17"/>
        <v>2026-04</v>
      </c>
      <c r="S100">
        <f t="shared" ca="1" si="18"/>
        <v>0</v>
      </c>
      <c r="T100" t="str">
        <f t="shared" ca="1" si="19"/>
        <v>Not Overdue</v>
      </c>
    </row>
    <row r="101" spans="1:20" x14ac:dyDescent="0.3">
      <c r="A101" s="9" t="s">
        <v>143</v>
      </c>
      <c r="B101" s="9" t="s">
        <v>38</v>
      </c>
      <c r="C101" s="9" t="s">
        <v>39</v>
      </c>
      <c r="D101" s="9" t="s">
        <v>17</v>
      </c>
      <c r="E101" s="9" t="s">
        <v>31</v>
      </c>
      <c r="F101" s="10">
        <v>46142</v>
      </c>
      <c r="G101" s="10">
        <v>46172</v>
      </c>
      <c r="H101" s="9"/>
      <c r="I101" s="13">
        <v>2000</v>
      </c>
      <c r="J101" s="13">
        <v>0</v>
      </c>
      <c r="K101" s="14">
        <f t="shared" si="10"/>
        <v>2000</v>
      </c>
      <c r="L101" s="3" t="str">
        <f t="shared" ca="1" si="11"/>
        <v>Open</v>
      </c>
      <c r="M101" s="3">
        <f t="shared" ca="1" si="12"/>
        <v>0</v>
      </c>
      <c r="N101" s="3" t="str">
        <f t="shared" ca="1" si="13"/>
        <v>Current</v>
      </c>
      <c r="O101" s="3" t="str">
        <f t="shared" si="14"/>
        <v>Low</v>
      </c>
      <c r="P101" s="3" t="str">
        <f t="shared" ca="1" si="15"/>
        <v>Low</v>
      </c>
      <c r="Q101" s="6">
        <f t="shared" si="16"/>
        <v>30</v>
      </c>
      <c r="R101" s="3" t="str">
        <f t="shared" si="17"/>
        <v>2026-04</v>
      </c>
      <c r="S101" s="3">
        <f t="shared" ca="1" si="18"/>
        <v>0</v>
      </c>
      <c r="T101" s="3" t="str">
        <f t="shared" ca="1" si="19"/>
        <v>Not Overdue</v>
      </c>
    </row>
  </sheetData>
  <autoFilter ref="A1:T1" xr:uid="{1731076D-BEED-4097-9F2F-C9DAEAE484E1}"/>
  <conditionalFormatting sqref="K2:K101 M2:M101 P2:P101">
    <cfRule type="cellIs" dxfId="1" priority="3" operator="equal">
      <formula>"High"</formula>
    </cfRule>
    <cfRule type="cellIs" dxfId="2" priority="2" operator="equal">
      <formula>"Medium"</formula>
    </cfRule>
    <cfRule type="cellIs" dxfId="0" priority="1" operator="equal">
      <formula>"Low"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Invoices</vt:lpstr>
      <vt:lpstr>AR_Invoices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Alberto Emerenciano Medeiros</dc:creator>
  <cp:lastModifiedBy>Diogo Alberto Emerenciano Medeiros</cp:lastModifiedBy>
  <dcterms:created xsi:type="dcterms:W3CDTF">2026-05-16T20:43:26Z</dcterms:created>
  <dcterms:modified xsi:type="dcterms:W3CDTF">2026-05-18T21:57:19Z</dcterms:modified>
</cp:coreProperties>
</file>